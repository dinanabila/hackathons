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nan\Downloads\"/>
    </mc:Choice>
  </mc:AlternateContent>
  <xr:revisionPtr revIDLastSave="0" documentId="13_ncr:1_{1466A34B-ECF0-45F0-B34D-D706A4AD0EA9}" xr6:coauthVersionLast="47" xr6:coauthVersionMax="47" xr10:uidLastSave="{00000000-0000-0000-0000-000000000000}"/>
  <bookViews>
    <workbookView xWindow="-120" yWindow="-120" windowWidth="20730" windowHeight="11040" activeTab="4" xr2:uid="{22569C4C-5442-4ADD-AE82-33C27DE9681B}"/>
  </bookViews>
  <sheets>
    <sheet name="Demand Projection" sheetId="5" r:id="rId1"/>
    <sheet name="Warehouse" sheetId="6" r:id="rId2"/>
    <sheet name="Capacity" sheetId="9" r:id="rId3"/>
    <sheet name="Warehouse Helper" sheetId="11" r:id="rId4"/>
    <sheet name="Demand Helper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6" l="1" a="1"/>
  <c r="G3" i="6" s="1"/>
  <c r="G4" i="6" a="1"/>
  <c r="G4" i="6"/>
  <c r="G5" i="6" a="1"/>
  <c r="G5" i="6" s="1"/>
  <c r="G6" i="6" a="1"/>
  <c r="G6" i="6"/>
  <c r="G7" i="6" a="1"/>
  <c r="G7" i="6" s="1"/>
  <c r="G8" i="6" a="1"/>
  <c r="G8" i="6"/>
  <c r="G9" i="6" a="1"/>
  <c r="G9" i="6" s="1"/>
  <c r="G10" i="6" a="1"/>
  <c r="G10" i="6" s="1"/>
  <c r="G11" i="6" a="1"/>
  <c r="G11" i="6" s="1"/>
  <c r="G12" i="6" a="1"/>
  <c r="G12" i="6"/>
  <c r="G13" i="6" a="1"/>
  <c r="G13" i="6" s="1"/>
  <c r="G14" i="6" a="1"/>
  <c r="G14" i="6"/>
  <c r="G15" i="6" a="1"/>
  <c r="G15" i="6" s="1"/>
  <c r="G16" i="6" a="1"/>
  <c r="G16" i="6"/>
  <c r="G17" i="6" a="1"/>
  <c r="G17" i="6" s="1"/>
  <c r="G18" i="6" a="1"/>
  <c r="G18" i="6"/>
  <c r="G19" i="6" a="1"/>
  <c r="G19" i="6" s="1"/>
  <c r="G20" i="6" a="1"/>
  <c r="G20" i="6" s="1"/>
  <c r="G21" i="6" a="1"/>
  <c r="G21" i="6" s="1"/>
  <c r="G22" i="6" a="1"/>
  <c r="G22" i="6"/>
  <c r="G23" i="6" a="1"/>
  <c r="G23" i="6" s="1"/>
  <c r="G24" i="6" a="1"/>
  <c r="G24" i="6" s="1"/>
  <c r="G25" i="6" a="1"/>
  <c r="G25" i="6" s="1"/>
  <c r="G26" i="6" a="1"/>
  <c r="G26" i="6"/>
  <c r="G27" i="6" a="1"/>
  <c r="G27" i="6" s="1"/>
  <c r="G28" i="6" a="1"/>
  <c r="G28" i="6" s="1"/>
  <c r="G29" i="6" a="1"/>
  <c r="G29" i="6" s="1"/>
  <c r="G30" i="6" a="1"/>
  <c r="G30" i="6"/>
  <c r="G31" i="6" a="1"/>
  <c r="G31" i="6" s="1"/>
  <c r="G32" i="6" a="1"/>
  <c r="G32" i="6" s="1"/>
  <c r="G33" i="6" a="1"/>
  <c r="G33" i="6" s="1"/>
  <c r="G34" i="6" a="1"/>
  <c r="G34" i="6"/>
  <c r="G35" i="6" a="1"/>
  <c r="G35" i="6" s="1"/>
  <c r="G36" i="6" a="1"/>
  <c r="G36" i="6" s="1"/>
  <c r="G37" i="6" a="1"/>
  <c r="G37" i="6" s="1"/>
  <c r="G38" i="6" a="1"/>
  <c r="G38" i="6"/>
  <c r="G39" i="6" a="1"/>
  <c r="G39" i="6" s="1"/>
  <c r="G40" i="6" a="1"/>
  <c r="G40" i="6" s="1"/>
  <c r="G41" i="6" a="1"/>
  <c r="G41" i="6" s="1"/>
  <c r="G42" i="6" a="1"/>
  <c r="G42" i="6"/>
  <c r="G43" i="6" a="1"/>
  <c r="G43" i="6" s="1"/>
  <c r="G44" i="6" a="1"/>
  <c r="G44" i="6" s="1"/>
  <c r="G45" i="6" a="1"/>
  <c r="G45" i="6" s="1"/>
  <c r="G46" i="6" a="1"/>
  <c r="G46" i="6"/>
  <c r="G47" i="6" a="1"/>
  <c r="G47" i="6" s="1"/>
  <c r="G48" i="6" a="1"/>
  <c r="G48" i="6" s="1"/>
  <c r="G49" i="6" a="1"/>
  <c r="G49" i="6" s="1"/>
  <c r="G50" i="6" a="1"/>
  <c r="G50" i="6"/>
  <c r="G51" i="6" a="1"/>
  <c r="G51" i="6" s="1"/>
  <c r="G52" i="6" a="1"/>
  <c r="G52" i="6" s="1"/>
  <c r="G53" i="6" a="1"/>
  <c r="G53" i="6" s="1"/>
  <c r="G54" i="6" a="1"/>
  <c r="G54" i="6"/>
  <c r="G55" i="6" a="1"/>
  <c r="G55" i="6" s="1"/>
  <c r="G56" i="6" a="1"/>
  <c r="G56" i="6" s="1"/>
  <c r="G57" i="6" a="1"/>
  <c r="G57" i="6" s="1"/>
  <c r="G58" i="6" a="1"/>
  <c r="G58" i="6"/>
  <c r="G59" i="6" a="1"/>
  <c r="G59" i="6" s="1"/>
  <c r="G60" i="6" a="1"/>
  <c r="G60" i="6" s="1"/>
  <c r="G61" i="6" a="1"/>
  <c r="G61" i="6" s="1"/>
  <c r="G62" i="6" a="1"/>
  <c r="G62" i="6" s="1"/>
  <c r="G63" i="6" a="1"/>
  <c r="G63" i="6" s="1"/>
  <c r="G64" i="6" a="1"/>
  <c r="G64" i="6" s="1"/>
  <c r="G65" i="6" a="1"/>
  <c r="G65" i="6" s="1"/>
  <c r="G66" i="6" a="1"/>
  <c r="G66" i="6" s="1"/>
  <c r="G67" i="6" a="1"/>
  <c r="G67" i="6" s="1"/>
  <c r="G68" i="6" a="1"/>
  <c r="G68" i="6" s="1"/>
  <c r="G69" i="6" a="1"/>
  <c r="G69" i="6" s="1"/>
  <c r="G70" i="6" a="1"/>
  <c r="G70" i="6" s="1"/>
  <c r="G2" i="6" a="1"/>
  <c r="G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2" i="6"/>
  <c r="D8" i="6" a="1"/>
  <c r="D8" i="6"/>
  <c r="D9" i="6" a="1"/>
  <c r="D9" i="6"/>
  <c r="D10" i="6" a="1"/>
  <c r="D10" i="6"/>
  <c r="D11" i="6" a="1"/>
  <c r="D11" i="6"/>
  <c r="D12" i="6" a="1"/>
  <c r="D12" i="6"/>
  <c r="D13" i="6" a="1"/>
  <c r="D13" i="6"/>
  <c r="D14" i="6" a="1"/>
  <c r="D14" i="6"/>
  <c r="D15" i="6" a="1"/>
  <c r="D15" i="6"/>
  <c r="D16" i="6" a="1"/>
  <c r="D16" i="6"/>
  <c r="D17" i="6" a="1"/>
  <c r="D17" i="6"/>
  <c r="D18" i="6" a="1"/>
  <c r="D18" i="6"/>
  <c r="D19" i="6" a="1"/>
  <c r="D19" i="6"/>
  <c r="D20" i="6" a="1"/>
  <c r="D20" i="6"/>
  <c r="D21" i="6" a="1"/>
  <c r="D21" i="6"/>
  <c r="D22" i="6" a="1"/>
  <c r="D22" i="6"/>
  <c r="D23" i="6" a="1"/>
  <c r="D23" i="6"/>
  <c r="D24" i="6" a="1"/>
  <c r="D24" i="6"/>
  <c r="D25" i="6" a="1"/>
  <c r="D25" i="6"/>
  <c r="D26" i="6" a="1"/>
  <c r="D26" i="6"/>
  <c r="D27" i="6" a="1"/>
  <c r="D27" i="6"/>
  <c r="D28" i="6" a="1"/>
  <c r="D28" i="6"/>
  <c r="D29" i="6" a="1"/>
  <c r="D29" i="6"/>
  <c r="D30" i="6" a="1"/>
  <c r="D30" i="6"/>
  <c r="D31" i="6" a="1"/>
  <c r="D31" i="6"/>
  <c r="D32" i="6" a="1"/>
  <c r="D32" i="6"/>
  <c r="D33" i="6" a="1"/>
  <c r="D33" i="6"/>
  <c r="D34" i="6" a="1"/>
  <c r="D34" i="6"/>
  <c r="D35" i="6" a="1"/>
  <c r="D35" i="6"/>
  <c r="D36" i="6" a="1"/>
  <c r="D36" i="6" s="1"/>
  <c r="D37" i="6" a="1"/>
  <c r="D37" i="6"/>
  <c r="D38" i="6" a="1"/>
  <c r="D38" i="6"/>
  <c r="D39" i="6" a="1"/>
  <c r="D39" i="6"/>
  <c r="D40" i="6" a="1"/>
  <c r="D40" i="6" s="1"/>
  <c r="D41" i="6" a="1"/>
  <c r="D41" i="6"/>
  <c r="D42" i="6" a="1"/>
  <c r="D42" i="6"/>
  <c r="D43" i="6" a="1"/>
  <c r="D43" i="6"/>
  <c r="D44" i="6" a="1"/>
  <c r="D44" i="6" s="1"/>
  <c r="D45" i="6" a="1"/>
  <c r="D45" i="6"/>
  <c r="D46" i="6" a="1"/>
  <c r="D46" i="6"/>
  <c r="D47" i="6" a="1"/>
  <c r="D47" i="6"/>
  <c r="D48" i="6" a="1"/>
  <c r="D48" i="6" s="1"/>
  <c r="D49" i="6" a="1"/>
  <c r="D49" i="6"/>
  <c r="D50" i="6" a="1"/>
  <c r="D50" i="6"/>
  <c r="D51" i="6" a="1"/>
  <c r="D51" i="6"/>
  <c r="D52" i="6" a="1"/>
  <c r="D52" i="6" s="1"/>
  <c r="D53" i="6" a="1"/>
  <c r="D53" i="6"/>
  <c r="D54" i="6" a="1"/>
  <c r="D54" i="6"/>
  <c r="D55" i="6" a="1"/>
  <c r="D55" i="6"/>
  <c r="D56" i="6" a="1"/>
  <c r="D56" i="6" s="1"/>
  <c r="D57" i="6" a="1"/>
  <c r="D57" i="6"/>
  <c r="D58" i="6" a="1"/>
  <c r="D58" i="6"/>
  <c r="D59" i="6" a="1"/>
  <c r="D59" i="6"/>
  <c r="D60" i="6" a="1"/>
  <c r="D60" i="6" s="1"/>
  <c r="D61" i="6" a="1"/>
  <c r="D61" i="6"/>
  <c r="D62" i="6" a="1"/>
  <c r="D62" i="6"/>
  <c r="D63" i="6" a="1"/>
  <c r="D63" i="6"/>
  <c r="D64" i="6" a="1"/>
  <c r="D64" i="6" s="1"/>
  <c r="D65" i="6" a="1"/>
  <c r="D65" i="6"/>
  <c r="D66" i="6" a="1"/>
  <c r="D66" i="6"/>
  <c r="D67" i="6" a="1"/>
  <c r="D67" i="6" s="1"/>
  <c r="D68" i="6" a="1"/>
  <c r="D68" i="6" s="1"/>
  <c r="D69" i="6" a="1"/>
  <c r="D69" i="6" s="1"/>
  <c r="D70" i="6" a="1"/>
  <c r="D70" i="6" s="1"/>
  <c r="D7" i="6" a="1"/>
  <c r="D7" i="6" s="1"/>
  <c r="C8" i="6" a="1"/>
  <c r="C8" i="6"/>
  <c r="C9" i="6" a="1"/>
  <c r="C9" i="6"/>
  <c r="C10" i="6" a="1"/>
  <c r="C10" i="6"/>
  <c r="C11" i="6" a="1"/>
  <c r="C11" i="6"/>
  <c r="C12" i="6" a="1"/>
  <c r="C12" i="6"/>
  <c r="C13" i="6" a="1"/>
  <c r="C13" i="6"/>
  <c r="C14" i="6" a="1"/>
  <c r="C14" i="6"/>
  <c r="C15" i="6" a="1"/>
  <c r="C15" i="6"/>
  <c r="C16" i="6" a="1"/>
  <c r="C16" i="6"/>
  <c r="C17" i="6" a="1"/>
  <c r="C17" i="6"/>
  <c r="C18" i="6" a="1"/>
  <c r="C18" i="6"/>
  <c r="C19" i="6" a="1"/>
  <c r="C19" i="6"/>
  <c r="C20" i="6" a="1"/>
  <c r="C20" i="6"/>
  <c r="C21" i="6" a="1"/>
  <c r="C21" i="6"/>
  <c r="C22" i="6" a="1"/>
  <c r="C22" i="6"/>
  <c r="C23" i="6" a="1"/>
  <c r="C23" i="6"/>
  <c r="C24" i="6" a="1"/>
  <c r="C24" i="6"/>
  <c r="C25" i="6" a="1"/>
  <c r="C25" i="6"/>
  <c r="C26" i="6" a="1"/>
  <c r="C26" i="6"/>
  <c r="C27" i="6" a="1"/>
  <c r="C27" i="6"/>
  <c r="C28" i="6" a="1"/>
  <c r="C28" i="6"/>
  <c r="C29" i="6" a="1"/>
  <c r="C29" i="6"/>
  <c r="C30" i="6" a="1"/>
  <c r="C30" i="6"/>
  <c r="C31" i="6" a="1"/>
  <c r="C31" i="6"/>
  <c r="C32" i="6" a="1"/>
  <c r="C32" i="6" s="1"/>
  <c r="C33" i="6" a="1"/>
  <c r="C33" i="6"/>
  <c r="C34" i="6" a="1"/>
  <c r="C34" i="6"/>
  <c r="C35" i="6" a="1"/>
  <c r="C35" i="6"/>
  <c r="C36" i="6" a="1"/>
  <c r="C36" i="6" s="1"/>
  <c r="C37" i="6" a="1"/>
  <c r="C37" i="6"/>
  <c r="C38" i="6" a="1"/>
  <c r="C38" i="6"/>
  <c r="C39" i="6" a="1"/>
  <c r="C39" i="6"/>
  <c r="C40" i="6" a="1"/>
  <c r="C40" i="6" s="1"/>
  <c r="C41" i="6" a="1"/>
  <c r="C41" i="6"/>
  <c r="C42" i="6" a="1"/>
  <c r="C42" i="6"/>
  <c r="C43" i="6" a="1"/>
  <c r="C43" i="6"/>
  <c r="C44" i="6" a="1"/>
  <c r="C44" i="6" s="1"/>
  <c r="C45" i="6" a="1"/>
  <c r="C45" i="6"/>
  <c r="C46" i="6" a="1"/>
  <c r="C46" i="6"/>
  <c r="C47" i="6" a="1"/>
  <c r="C47" i="6"/>
  <c r="C48" i="6" a="1"/>
  <c r="C48" i="6" s="1"/>
  <c r="C49" i="6" a="1"/>
  <c r="C49" i="6"/>
  <c r="C50" i="6" a="1"/>
  <c r="C50" i="6"/>
  <c r="C51" i="6" a="1"/>
  <c r="C51" i="6"/>
  <c r="C52" i="6" a="1"/>
  <c r="C52" i="6" s="1"/>
  <c r="C53" i="6" a="1"/>
  <c r="C53" i="6"/>
  <c r="C54" i="6" a="1"/>
  <c r="C54" i="6"/>
  <c r="C55" i="6" a="1"/>
  <c r="C55" i="6"/>
  <c r="C56" i="6" a="1"/>
  <c r="C56" i="6" s="1"/>
  <c r="C57" i="6" a="1"/>
  <c r="C57" i="6"/>
  <c r="C58" i="6" a="1"/>
  <c r="C58" i="6"/>
  <c r="C59" i="6" a="1"/>
  <c r="C59" i="6"/>
  <c r="C60" i="6" a="1"/>
  <c r="C60" i="6" s="1"/>
  <c r="C61" i="6" a="1"/>
  <c r="C61" i="6"/>
  <c r="C62" i="6" a="1"/>
  <c r="C62" i="6"/>
  <c r="C63" i="6" a="1"/>
  <c r="C63" i="6"/>
  <c r="C64" i="6" a="1"/>
  <c r="C64" i="6" s="1"/>
  <c r="C65" i="6" a="1"/>
  <c r="C65" i="6"/>
  <c r="C66" i="6" a="1"/>
  <c r="C66" i="6"/>
  <c r="C67" i="6" a="1"/>
  <c r="C67" i="6"/>
  <c r="C68" i="6" a="1"/>
  <c r="C68" i="6" s="1"/>
  <c r="C69" i="6" a="1"/>
  <c r="C69" i="6"/>
  <c r="C70" i="6" a="1"/>
  <c r="C70" i="6"/>
  <c r="C7" i="6" a="1"/>
  <c r="C7" i="6" s="1"/>
  <c r="B8" i="6" a="1"/>
  <c r="B8" i="6"/>
  <c r="B9" i="6" a="1"/>
  <c r="B9" i="6"/>
  <c r="B10" i="6" a="1"/>
  <c r="B10" i="6" s="1"/>
  <c r="B11" i="6" a="1"/>
  <c r="B11" i="6"/>
  <c r="B12" i="6" a="1"/>
  <c r="B12" i="6"/>
  <c r="B13" i="6" a="1"/>
  <c r="B13" i="6"/>
  <c r="B14" i="6" a="1"/>
  <c r="B14" i="6" s="1"/>
  <c r="B15" i="6" a="1"/>
  <c r="B15" i="6"/>
  <c r="B16" i="6" a="1"/>
  <c r="B16" i="6"/>
  <c r="B17" i="6" a="1"/>
  <c r="B17" i="6"/>
  <c r="B18" i="6" a="1"/>
  <c r="B18" i="6" s="1"/>
  <c r="B19" i="6" a="1"/>
  <c r="B19" i="6"/>
  <c r="B20" i="6" a="1"/>
  <c r="B20" i="6"/>
  <c r="B21" i="6" a="1"/>
  <c r="B21" i="6"/>
  <c r="B22" i="6" a="1"/>
  <c r="B22" i="6" s="1"/>
  <c r="B23" i="6" a="1"/>
  <c r="B23" i="6"/>
  <c r="B24" i="6" a="1"/>
  <c r="B24" i="6"/>
  <c r="B25" i="6" a="1"/>
  <c r="B25" i="6"/>
  <c r="B26" i="6" a="1"/>
  <c r="B26" i="6" s="1"/>
  <c r="B27" i="6" a="1"/>
  <c r="B27" i="6"/>
  <c r="B28" i="6" a="1"/>
  <c r="B28" i="6"/>
  <c r="B29" i="6" a="1"/>
  <c r="B29" i="6"/>
  <c r="B30" i="6" a="1"/>
  <c r="B30" i="6" s="1"/>
  <c r="B31" i="6" a="1"/>
  <c r="B31" i="6"/>
  <c r="B32" i="6" a="1"/>
  <c r="B32" i="6"/>
  <c r="B33" i="6" a="1"/>
  <c r="B33" i="6"/>
  <c r="B34" i="6" a="1"/>
  <c r="B34" i="6" s="1"/>
  <c r="B35" i="6" a="1"/>
  <c r="B35" i="6"/>
  <c r="B36" i="6" a="1"/>
  <c r="B36" i="6" s="1"/>
  <c r="B37" i="6" a="1"/>
  <c r="B37" i="6"/>
  <c r="B38" i="6" a="1"/>
  <c r="B38" i="6" s="1"/>
  <c r="B39" i="6" a="1"/>
  <c r="B39" i="6"/>
  <c r="B40" i="6" a="1"/>
  <c r="B40" i="6" s="1"/>
  <c r="B41" i="6" a="1"/>
  <c r="B41" i="6"/>
  <c r="B42" i="6" a="1"/>
  <c r="B42" i="6" s="1"/>
  <c r="B43" i="6" a="1"/>
  <c r="B43" i="6"/>
  <c r="B44" i="6" a="1"/>
  <c r="B44" i="6" s="1"/>
  <c r="B45" i="6" a="1"/>
  <c r="B45" i="6"/>
  <c r="B46" i="6" a="1"/>
  <c r="B46" i="6" s="1"/>
  <c r="B47" i="6" a="1"/>
  <c r="B47" i="6"/>
  <c r="B48" i="6" a="1"/>
  <c r="B48" i="6" s="1"/>
  <c r="B49" i="6" a="1"/>
  <c r="B49" i="6"/>
  <c r="B50" i="6" a="1"/>
  <c r="B50" i="6" s="1"/>
  <c r="B51" i="6" a="1"/>
  <c r="B51" i="6"/>
  <c r="B52" i="6" a="1"/>
  <c r="B52" i="6" s="1"/>
  <c r="B53" i="6" a="1"/>
  <c r="B53" i="6"/>
  <c r="B54" i="6" a="1"/>
  <c r="B54" i="6" s="1"/>
  <c r="B55" i="6" a="1"/>
  <c r="B55" i="6"/>
  <c r="B56" i="6" a="1"/>
  <c r="B56" i="6" s="1"/>
  <c r="B57" i="6" a="1"/>
  <c r="B57" i="6"/>
  <c r="B58" i="6" a="1"/>
  <c r="B58" i="6" s="1"/>
  <c r="B59" i="6" a="1"/>
  <c r="B59" i="6"/>
  <c r="B60" i="6" a="1"/>
  <c r="B60" i="6" s="1"/>
  <c r="B61" i="6" a="1"/>
  <c r="B61" i="6"/>
  <c r="B62" i="6" a="1"/>
  <c r="B62" i="6" s="1"/>
  <c r="B63" i="6" a="1"/>
  <c r="B63" i="6"/>
  <c r="B64" i="6" a="1"/>
  <c r="B64" i="6" s="1"/>
  <c r="B65" i="6" a="1"/>
  <c r="B65" i="6"/>
  <c r="B66" i="6" a="1"/>
  <c r="B66" i="6" s="1"/>
  <c r="B67" i="6" a="1"/>
  <c r="B67" i="6" s="1"/>
  <c r="B68" i="6" a="1"/>
  <c r="B68" i="6" s="1"/>
  <c r="B69" i="6" a="1"/>
  <c r="B69" i="6" s="1"/>
  <c r="B70" i="6" a="1"/>
  <c r="B70" i="6" s="1"/>
  <c r="B7" i="6" a="1"/>
  <c r="B7" i="6" s="1"/>
  <c r="K3" i="11"/>
  <c r="K4" i="11"/>
  <c r="K5" i="11"/>
  <c r="K6" i="11"/>
  <c r="K7" i="11"/>
  <c r="K8" i="11"/>
  <c r="K9" i="11"/>
  <c r="K10" i="11"/>
  <c r="F17" i="11" s="1"/>
  <c r="G17" i="11" s="1"/>
  <c r="J17" i="11" s="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2" i="11"/>
  <c r="G2" i="11"/>
  <c r="F4" i="11"/>
  <c r="G4" i="11" s="1"/>
  <c r="J4" i="11" s="1"/>
  <c r="F5" i="11"/>
  <c r="G5" i="11" s="1"/>
  <c r="J5" i="11" s="1"/>
  <c r="F6" i="11"/>
  <c r="G6" i="11" s="1"/>
  <c r="J6" i="11" s="1"/>
  <c r="F7" i="11"/>
  <c r="G7" i="11" s="1"/>
  <c r="J7" i="11" s="1"/>
  <c r="F13" i="11" s="1"/>
  <c r="G13" i="11" s="1"/>
  <c r="J13" i="11" s="1"/>
  <c r="F8" i="11"/>
  <c r="G8" i="11" s="1"/>
  <c r="J8" i="11" s="1"/>
  <c r="F9" i="11"/>
  <c r="G9" i="11" s="1"/>
  <c r="J9" i="11" s="1"/>
  <c r="F10" i="11"/>
  <c r="G10" i="11" s="1"/>
  <c r="J10" i="11" s="1"/>
  <c r="F15" i="11"/>
  <c r="G15" i="11" s="1"/>
  <c r="J15" i="11" s="1"/>
  <c r="F23" i="11"/>
  <c r="G23" i="11" s="1"/>
  <c r="J23" i="11" s="1"/>
  <c r="F3" i="11"/>
  <c r="G3" i="11" s="1"/>
  <c r="J3" i="11" s="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2" i="11"/>
  <c r="F3" i="9"/>
  <c r="F4" i="9"/>
  <c r="F5" i="9"/>
  <c r="F6" i="9"/>
  <c r="F7" i="9"/>
  <c r="E3" i="9"/>
  <c r="E4" i="9"/>
  <c r="E5" i="9"/>
  <c r="E6" i="9"/>
  <c r="E7" i="9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2" i="10"/>
  <c r="A9" i="10"/>
  <c r="B9" i="10"/>
  <c r="C9" i="10"/>
  <c r="A10" i="10"/>
  <c r="B10" i="10"/>
  <c r="C10" i="10"/>
  <c r="A11" i="10"/>
  <c r="B11" i="10"/>
  <c r="C11" i="10"/>
  <c r="A12" i="10"/>
  <c r="B12" i="10"/>
  <c r="C12" i="10"/>
  <c r="A13" i="10"/>
  <c r="B13" i="10"/>
  <c r="C13" i="10"/>
  <c r="A14" i="10"/>
  <c r="B14" i="10"/>
  <c r="C14" i="10"/>
  <c r="A15" i="10"/>
  <c r="B15" i="10"/>
  <c r="C15" i="10"/>
  <c r="A16" i="10"/>
  <c r="B16" i="10"/>
  <c r="C16" i="10"/>
  <c r="A17" i="10"/>
  <c r="B17" i="10"/>
  <c r="C17" i="10"/>
  <c r="A18" i="10"/>
  <c r="B18" i="10"/>
  <c r="C18" i="10"/>
  <c r="A19" i="10"/>
  <c r="B19" i="10"/>
  <c r="C19" i="10"/>
  <c r="A20" i="10"/>
  <c r="B20" i="10"/>
  <c r="C20" i="10"/>
  <c r="A21" i="10"/>
  <c r="B21" i="10"/>
  <c r="C21" i="10"/>
  <c r="A22" i="10"/>
  <c r="B22" i="10"/>
  <c r="C22" i="10"/>
  <c r="A23" i="10"/>
  <c r="B23" i="10"/>
  <c r="C23" i="10"/>
  <c r="A24" i="10"/>
  <c r="B24" i="10"/>
  <c r="C24" i="10"/>
  <c r="A25" i="10"/>
  <c r="B25" i="10"/>
  <c r="C25" i="10"/>
  <c r="A26" i="10"/>
  <c r="B26" i="10"/>
  <c r="C26" i="10"/>
  <c r="A27" i="10"/>
  <c r="B27" i="10"/>
  <c r="C27" i="10"/>
  <c r="A28" i="10"/>
  <c r="B28" i="10"/>
  <c r="C28" i="10"/>
  <c r="A29" i="10"/>
  <c r="B29" i="10"/>
  <c r="C29" i="10"/>
  <c r="A30" i="10"/>
  <c r="B30" i="10"/>
  <c r="C30" i="10"/>
  <c r="A31" i="10"/>
  <c r="B31" i="10"/>
  <c r="C31" i="10"/>
  <c r="A32" i="10"/>
  <c r="B32" i="10"/>
  <c r="C32" i="10"/>
  <c r="A33" i="10"/>
  <c r="B33" i="10"/>
  <c r="C33" i="10"/>
  <c r="A34" i="10"/>
  <c r="B34" i="10"/>
  <c r="C34" i="10"/>
  <c r="A35" i="10"/>
  <c r="B35" i="10"/>
  <c r="C35" i="10"/>
  <c r="A36" i="10"/>
  <c r="B36" i="10"/>
  <c r="C36" i="10"/>
  <c r="A37" i="10"/>
  <c r="B37" i="10"/>
  <c r="C37" i="10"/>
  <c r="A38" i="10"/>
  <c r="B38" i="10"/>
  <c r="C38" i="10"/>
  <c r="A39" i="10"/>
  <c r="B39" i="10"/>
  <c r="C39" i="10"/>
  <c r="A40" i="10"/>
  <c r="B40" i="10"/>
  <c r="C40" i="10"/>
  <c r="A41" i="10"/>
  <c r="B41" i="10"/>
  <c r="C41" i="10"/>
  <c r="A42" i="10"/>
  <c r="B42" i="10"/>
  <c r="C42" i="10"/>
  <c r="A43" i="10"/>
  <c r="B43" i="10"/>
  <c r="C43" i="10"/>
  <c r="A44" i="10"/>
  <c r="B44" i="10"/>
  <c r="C44" i="10"/>
  <c r="A45" i="10"/>
  <c r="B45" i="10"/>
  <c r="C45" i="10"/>
  <c r="A46" i="10"/>
  <c r="B46" i="10"/>
  <c r="C46" i="10"/>
  <c r="A47" i="10"/>
  <c r="B47" i="10"/>
  <c r="C47" i="10"/>
  <c r="A48" i="10"/>
  <c r="B48" i="10"/>
  <c r="C48" i="10"/>
  <c r="A49" i="10"/>
  <c r="B49" i="10"/>
  <c r="C49" i="10"/>
  <c r="A50" i="10"/>
  <c r="B50" i="10"/>
  <c r="C50" i="10"/>
  <c r="A51" i="10"/>
  <c r="B51" i="10"/>
  <c r="C51" i="10"/>
  <c r="A52" i="10"/>
  <c r="B52" i="10"/>
  <c r="C52" i="10"/>
  <c r="A53" i="10"/>
  <c r="B53" i="10"/>
  <c r="C53" i="10"/>
  <c r="A54" i="10"/>
  <c r="B54" i="10"/>
  <c r="C54" i="10"/>
  <c r="A55" i="10"/>
  <c r="B55" i="10"/>
  <c r="C55" i="10"/>
  <c r="A56" i="10"/>
  <c r="B56" i="10"/>
  <c r="C56" i="10"/>
  <c r="A57" i="10"/>
  <c r="B57" i="10"/>
  <c r="C57" i="10"/>
  <c r="A58" i="10"/>
  <c r="B58" i="10"/>
  <c r="C58" i="10"/>
  <c r="A59" i="10"/>
  <c r="B59" i="10"/>
  <c r="C59" i="10"/>
  <c r="A60" i="10"/>
  <c r="B60" i="10"/>
  <c r="C60" i="10"/>
  <c r="A61" i="10"/>
  <c r="B61" i="10"/>
  <c r="C61" i="10"/>
  <c r="A62" i="10"/>
  <c r="B62" i="10"/>
  <c r="C62" i="10"/>
  <c r="A63" i="10"/>
  <c r="B63" i="10"/>
  <c r="C63" i="10"/>
  <c r="A64" i="10"/>
  <c r="B64" i="10"/>
  <c r="C64" i="10"/>
  <c r="A65" i="10"/>
  <c r="B65" i="10"/>
  <c r="C65" i="10"/>
  <c r="A66" i="10"/>
  <c r="B66" i="10"/>
  <c r="C66" i="10"/>
  <c r="A67" i="10"/>
  <c r="B67" i="10"/>
  <c r="C67" i="10"/>
  <c r="A68" i="10"/>
  <c r="B68" i="10"/>
  <c r="C68" i="10"/>
  <c r="A69" i="10"/>
  <c r="B69" i="10"/>
  <c r="C69" i="10"/>
  <c r="A70" i="10"/>
  <c r="B70" i="10"/>
  <c r="C70" i="10"/>
  <c r="A71" i="10"/>
  <c r="B71" i="10"/>
  <c r="C71" i="10"/>
  <c r="A72" i="10"/>
  <c r="B72" i="10"/>
  <c r="C72" i="10"/>
  <c r="A73" i="10"/>
  <c r="B73" i="10"/>
  <c r="C73" i="10"/>
  <c r="A74" i="10"/>
  <c r="B74" i="10"/>
  <c r="C74" i="10"/>
  <c r="A75" i="10"/>
  <c r="B75" i="10"/>
  <c r="C75" i="10"/>
  <c r="A76" i="10"/>
  <c r="B76" i="10"/>
  <c r="C76" i="10"/>
  <c r="A77" i="10"/>
  <c r="B77" i="10"/>
  <c r="C77" i="10"/>
  <c r="A78" i="10"/>
  <c r="B78" i="10"/>
  <c r="C78" i="10"/>
  <c r="A79" i="10"/>
  <c r="B79" i="10"/>
  <c r="C79" i="10"/>
  <c r="A80" i="10"/>
  <c r="B80" i="10"/>
  <c r="C80" i="10"/>
  <c r="A81" i="10"/>
  <c r="B81" i="10"/>
  <c r="C81" i="10"/>
  <c r="A82" i="10"/>
  <c r="B82" i="10"/>
  <c r="C82" i="10"/>
  <c r="A83" i="10"/>
  <c r="B83" i="10"/>
  <c r="C83" i="10"/>
  <c r="A84" i="10"/>
  <c r="B84" i="10"/>
  <c r="C84" i="10"/>
  <c r="A85" i="10"/>
  <c r="B85" i="10"/>
  <c r="C85" i="10"/>
  <c r="A86" i="10"/>
  <c r="B86" i="10"/>
  <c r="C86" i="10"/>
  <c r="A87" i="10"/>
  <c r="B87" i="10"/>
  <c r="C87" i="10"/>
  <c r="A88" i="10"/>
  <c r="B88" i="10"/>
  <c r="C88" i="10"/>
  <c r="A89" i="10"/>
  <c r="B89" i="10"/>
  <c r="C89" i="10"/>
  <c r="A90" i="10"/>
  <c r="B90" i="10"/>
  <c r="C90" i="10"/>
  <c r="A91" i="10"/>
  <c r="B91" i="10"/>
  <c r="C91" i="10"/>
  <c r="A92" i="10"/>
  <c r="B92" i="10"/>
  <c r="C92" i="10"/>
  <c r="A93" i="10"/>
  <c r="B93" i="10"/>
  <c r="C93" i="10"/>
  <c r="A94" i="10"/>
  <c r="B94" i="10"/>
  <c r="C94" i="10"/>
  <c r="A95" i="10"/>
  <c r="B95" i="10"/>
  <c r="C95" i="10"/>
  <c r="A96" i="10"/>
  <c r="B96" i="10"/>
  <c r="C96" i="10"/>
  <c r="A97" i="10"/>
  <c r="B97" i="10"/>
  <c r="C97" i="10"/>
  <c r="A98" i="10"/>
  <c r="B98" i="10"/>
  <c r="C98" i="10"/>
  <c r="A99" i="10"/>
  <c r="B99" i="10"/>
  <c r="C99" i="10"/>
  <c r="A100" i="10"/>
  <c r="B100" i="10"/>
  <c r="C100" i="10"/>
  <c r="A101" i="10"/>
  <c r="B101" i="10"/>
  <c r="C101" i="10"/>
  <c r="A102" i="10"/>
  <c r="B102" i="10"/>
  <c r="C102" i="10"/>
  <c r="A103" i="10"/>
  <c r="B103" i="10"/>
  <c r="C103" i="10"/>
  <c r="A104" i="10"/>
  <c r="B104" i="10"/>
  <c r="C104" i="10"/>
  <c r="A105" i="10"/>
  <c r="B105" i="10"/>
  <c r="C105" i="10"/>
  <c r="A106" i="10"/>
  <c r="B106" i="10"/>
  <c r="C106" i="10"/>
  <c r="A107" i="10"/>
  <c r="B107" i="10"/>
  <c r="C107" i="10"/>
  <c r="A108" i="10"/>
  <c r="B108" i="10"/>
  <c r="C108" i="10"/>
  <c r="A109" i="10"/>
  <c r="B109" i="10"/>
  <c r="C109" i="10"/>
  <c r="A110" i="10"/>
  <c r="B110" i="10"/>
  <c r="C110" i="10"/>
  <c r="A111" i="10"/>
  <c r="B111" i="10"/>
  <c r="C111" i="10"/>
  <c r="A112" i="10"/>
  <c r="B112" i="10"/>
  <c r="C112" i="10"/>
  <c r="A113" i="10"/>
  <c r="B113" i="10"/>
  <c r="C113" i="10"/>
  <c r="A114" i="10"/>
  <c r="B114" i="10"/>
  <c r="C114" i="10"/>
  <c r="A115" i="10"/>
  <c r="B115" i="10"/>
  <c r="C115" i="10"/>
  <c r="A116" i="10"/>
  <c r="B116" i="10"/>
  <c r="C116" i="10"/>
  <c r="A117" i="10"/>
  <c r="B117" i="10"/>
  <c r="C117" i="10"/>
  <c r="A118" i="10"/>
  <c r="B118" i="10"/>
  <c r="C118" i="10"/>
  <c r="A119" i="10"/>
  <c r="B119" i="10"/>
  <c r="C119" i="10"/>
  <c r="A120" i="10"/>
  <c r="B120" i="10"/>
  <c r="C120" i="10"/>
  <c r="A121" i="10"/>
  <c r="B121" i="10"/>
  <c r="C121" i="10"/>
  <c r="A122" i="10"/>
  <c r="B122" i="10"/>
  <c r="C122" i="10"/>
  <c r="A123" i="10"/>
  <c r="B123" i="10"/>
  <c r="C123" i="10"/>
  <c r="A124" i="10"/>
  <c r="B124" i="10"/>
  <c r="C124" i="10"/>
  <c r="A125" i="10"/>
  <c r="B125" i="10"/>
  <c r="C125" i="10"/>
  <c r="A126" i="10"/>
  <c r="B126" i="10"/>
  <c r="C126" i="10"/>
  <c r="A127" i="10"/>
  <c r="B127" i="10"/>
  <c r="C127" i="10"/>
  <c r="A128" i="10"/>
  <c r="B128" i="10"/>
  <c r="C128" i="10"/>
  <c r="A129" i="10"/>
  <c r="B129" i="10"/>
  <c r="C129" i="10"/>
  <c r="A130" i="10"/>
  <c r="B130" i="10"/>
  <c r="C130" i="10"/>
  <c r="A131" i="10"/>
  <c r="B131" i="10"/>
  <c r="C131" i="10"/>
  <c r="A132" i="10"/>
  <c r="B132" i="10"/>
  <c r="C132" i="10"/>
  <c r="A133" i="10"/>
  <c r="B133" i="10"/>
  <c r="C133" i="10"/>
  <c r="A134" i="10"/>
  <c r="B134" i="10"/>
  <c r="C134" i="10"/>
  <c r="A135" i="10"/>
  <c r="B135" i="10"/>
  <c r="C135" i="10"/>
  <c r="A136" i="10"/>
  <c r="B136" i="10"/>
  <c r="C136" i="10"/>
  <c r="A137" i="10"/>
  <c r="B137" i="10"/>
  <c r="C137" i="10"/>
  <c r="A138" i="10"/>
  <c r="B138" i="10"/>
  <c r="C138" i="10"/>
  <c r="A139" i="10"/>
  <c r="B139" i="10"/>
  <c r="C139" i="10"/>
  <c r="A140" i="10"/>
  <c r="B140" i="10"/>
  <c r="C140" i="10"/>
  <c r="A141" i="10"/>
  <c r="B141" i="10"/>
  <c r="C141" i="10"/>
  <c r="A142" i="10"/>
  <c r="B142" i="10"/>
  <c r="C142" i="10"/>
  <c r="A143" i="10"/>
  <c r="B143" i="10"/>
  <c r="C143" i="10"/>
  <c r="A144" i="10"/>
  <c r="B144" i="10"/>
  <c r="C144" i="10"/>
  <c r="A145" i="10"/>
  <c r="B145" i="10"/>
  <c r="C145" i="10"/>
  <c r="A146" i="10"/>
  <c r="B146" i="10"/>
  <c r="C146" i="10"/>
  <c r="A147" i="10"/>
  <c r="B147" i="10"/>
  <c r="C147" i="10"/>
  <c r="A148" i="10"/>
  <c r="B148" i="10"/>
  <c r="C148" i="10"/>
  <c r="A149" i="10"/>
  <c r="B149" i="10"/>
  <c r="C149" i="10"/>
  <c r="A150" i="10"/>
  <c r="B150" i="10"/>
  <c r="C150" i="10"/>
  <c r="A151" i="10"/>
  <c r="B151" i="10"/>
  <c r="C151" i="10"/>
  <c r="A152" i="10"/>
  <c r="B152" i="10"/>
  <c r="C152" i="10"/>
  <c r="A153" i="10"/>
  <c r="B153" i="10"/>
  <c r="C153" i="10"/>
  <c r="A154" i="10"/>
  <c r="B154" i="10"/>
  <c r="C154" i="10"/>
  <c r="A155" i="10"/>
  <c r="B155" i="10"/>
  <c r="C155" i="10"/>
  <c r="A156" i="10"/>
  <c r="B156" i="10"/>
  <c r="C156" i="10"/>
  <c r="A157" i="10"/>
  <c r="B157" i="10"/>
  <c r="C157" i="10"/>
  <c r="A158" i="10"/>
  <c r="B158" i="10"/>
  <c r="C158" i="10"/>
  <c r="A159" i="10"/>
  <c r="B159" i="10"/>
  <c r="C159" i="10"/>
  <c r="A160" i="10"/>
  <c r="B160" i="10"/>
  <c r="C160" i="10"/>
  <c r="A161" i="10"/>
  <c r="B161" i="10"/>
  <c r="C161" i="10"/>
  <c r="A162" i="10"/>
  <c r="B162" i="10"/>
  <c r="C162" i="10"/>
  <c r="A163" i="10"/>
  <c r="B163" i="10"/>
  <c r="C163" i="10"/>
  <c r="A164" i="10"/>
  <c r="B164" i="10"/>
  <c r="C164" i="10"/>
  <c r="A165" i="10"/>
  <c r="B165" i="10"/>
  <c r="C165" i="10"/>
  <c r="A166" i="10"/>
  <c r="B166" i="10"/>
  <c r="C166" i="10"/>
  <c r="A167" i="10"/>
  <c r="B167" i="10"/>
  <c r="C167" i="10"/>
  <c r="A168" i="10"/>
  <c r="B168" i="10"/>
  <c r="C168" i="10"/>
  <c r="A169" i="10"/>
  <c r="B169" i="10"/>
  <c r="C169" i="10"/>
  <c r="A4" i="10"/>
  <c r="B4" i="10"/>
  <c r="C4" i="10"/>
  <c r="A5" i="10"/>
  <c r="B5" i="10"/>
  <c r="C5" i="10"/>
  <c r="A6" i="10"/>
  <c r="B6" i="10"/>
  <c r="C6" i="10"/>
  <c r="A7" i="10"/>
  <c r="B7" i="10"/>
  <c r="C7" i="10"/>
  <c r="A8" i="10"/>
  <c r="B8" i="10"/>
  <c r="C8" i="10"/>
  <c r="C3" i="10"/>
  <c r="B3" i="10"/>
  <c r="A3" i="10"/>
  <c r="C2" i="10"/>
  <c r="B2" i="10"/>
  <c r="A2" i="10"/>
  <c r="D17" i="5"/>
  <c r="D18" i="5"/>
  <c r="D19" i="5"/>
  <c r="D33" i="5" s="1"/>
  <c r="D20" i="5"/>
  <c r="D34" i="5" s="1"/>
  <c r="D21" i="5"/>
  <c r="D35" i="5" s="1"/>
  <c r="D49" i="5" s="1"/>
  <c r="D63" i="5" s="1"/>
  <c r="D77" i="5" s="1"/>
  <c r="D91" i="5" s="1"/>
  <c r="D105" i="5" s="1"/>
  <c r="D119" i="5" s="1"/>
  <c r="D133" i="5" s="1"/>
  <c r="D147" i="5" s="1"/>
  <c r="D161" i="5" s="1"/>
  <c r="D22" i="5"/>
  <c r="D36" i="5" s="1"/>
  <c r="D50" i="5" s="1"/>
  <c r="D64" i="5" s="1"/>
  <c r="D78" i="5" s="1"/>
  <c r="D92" i="5" s="1"/>
  <c r="D106" i="5" s="1"/>
  <c r="D120" i="5" s="1"/>
  <c r="D134" i="5" s="1"/>
  <c r="D148" i="5" s="1"/>
  <c r="D162" i="5" s="1"/>
  <c r="D23" i="5"/>
  <c r="D37" i="5" s="1"/>
  <c r="D51" i="5" s="1"/>
  <c r="D65" i="5" s="1"/>
  <c r="D79" i="5" s="1"/>
  <c r="D93" i="5" s="1"/>
  <c r="D107" i="5" s="1"/>
  <c r="D121" i="5" s="1"/>
  <c r="D135" i="5" s="1"/>
  <c r="D149" i="5" s="1"/>
  <c r="D163" i="5" s="1"/>
  <c r="D24" i="5"/>
  <c r="D38" i="5" s="1"/>
  <c r="D52" i="5" s="1"/>
  <c r="D66" i="5" s="1"/>
  <c r="D80" i="5" s="1"/>
  <c r="D94" i="5" s="1"/>
  <c r="D108" i="5" s="1"/>
  <c r="D122" i="5" s="1"/>
  <c r="D136" i="5" s="1"/>
  <c r="D150" i="5" s="1"/>
  <c r="D164" i="5" s="1"/>
  <c r="D25" i="5"/>
  <c r="D26" i="5"/>
  <c r="D27" i="5"/>
  <c r="D41" i="5" s="1"/>
  <c r="D28" i="5"/>
  <c r="D42" i="5" s="1"/>
  <c r="D56" i="5" s="1"/>
  <c r="D70" i="5" s="1"/>
  <c r="D84" i="5" s="1"/>
  <c r="D98" i="5" s="1"/>
  <c r="D112" i="5" s="1"/>
  <c r="D126" i="5" s="1"/>
  <c r="D140" i="5" s="1"/>
  <c r="D154" i="5" s="1"/>
  <c r="D168" i="5" s="1"/>
  <c r="D29" i="5"/>
  <c r="D43" i="5" s="1"/>
  <c r="D57" i="5" s="1"/>
  <c r="D30" i="5"/>
  <c r="D44" i="5" s="1"/>
  <c r="D58" i="5" s="1"/>
  <c r="D31" i="5"/>
  <c r="D45" i="5" s="1"/>
  <c r="D59" i="5" s="1"/>
  <c r="D73" i="5" s="1"/>
  <c r="D87" i="5" s="1"/>
  <c r="D101" i="5" s="1"/>
  <c r="D115" i="5" s="1"/>
  <c r="D129" i="5" s="1"/>
  <c r="D143" i="5" s="1"/>
  <c r="D157" i="5" s="1"/>
  <c r="D32" i="5"/>
  <c r="D46" i="5" s="1"/>
  <c r="D60" i="5" s="1"/>
  <c r="D74" i="5" s="1"/>
  <c r="D88" i="5" s="1"/>
  <c r="D102" i="5" s="1"/>
  <c r="D116" i="5" s="1"/>
  <c r="D130" i="5" s="1"/>
  <c r="D144" i="5" s="1"/>
  <c r="D158" i="5" s="1"/>
  <c r="D39" i="5"/>
  <c r="D53" i="5" s="1"/>
  <c r="D67" i="5" s="1"/>
  <c r="D81" i="5" s="1"/>
  <c r="D40" i="5"/>
  <c r="D47" i="5"/>
  <c r="D61" i="5" s="1"/>
  <c r="D75" i="5" s="1"/>
  <c r="D89" i="5" s="1"/>
  <c r="D103" i="5" s="1"/>
  <c r="D117" i="5" s="1"/>
  <c r="D131" i="5" s="1"/>
  <c r="D145" i="5" s="1"/>
  <c r="D159" i="5" s="1"/>
  <c r="D48" i="5"/>
  <c r="D62" i="5" s="1"/>
  <c r="D76" i="5" s="1"/>
  <c r="D90" i="5" s="1"/>
  <c r="D104" i="5" s="1"/>
  <c r="D118" i="5" s="1"/>
  <c r="D132" i="5" s="1"/>
  <c r="D146" i="5" s="1"/>
  <c r="D160" i="5" s="1"/>
  <c r="D54" i="5"/>
  <c r="D68" i="5" s="1"/>
  <c r="D82" i="5" s="1"/>
  <c r="D55" i="5"/>
  <c r="D69" i="5" s="1"/>
  <c r="D83" i="5" s="1"/>
  <c r="D97" i="5" s="1"/>
  <c r="D111" i="5" s="1"/>
  <c r="D125" i="5" s="1"/>
  <c r="D139" i="5" s="1"/>
  <c r="D153" i="5" s="1"/>
  <c r="D167" i="5" s="1"/>
  <c r="D71" i="5"/>
  <c r="D85" i="5" s="1"/>
  <c r="D99" i="5" s="1"/>
  <c r="D113" i="5" s="1"/>
  <c r="D127" i="5" s="1"/>
  <c r="D141" i="5" s="1"/>
  <c r="D155" i="5" s="1"/>
  <c r="D169" i="5" s="1"/>
  <c r="D72" i="5"/>
  <c r="D86" i="5" s="1"/>
  <c r="D100" i="5" s="1"/>
  <c r="D114" i="5" s="1"/>
  <c r="D128" i="5" s="1"/>
  <c r="D142" i="5" s="1"/>
  <c r="D156" i="5" s="1"/>
  <c r="D95" i="5"/>
  <c r="D109" i="5" s="1"/>
  <c r="D123" i="5" s="1"/>
  <c r="D137" i="5" s="1"/>
  <c r="D151" i="5" s="1"/>
  <c r="D165" i="5" s="1"/>
  <c r="D96" i="5"/>
  <c r="D110" i="5" s="1"/>
  <c r="D124" i="5" s="1"/>
  <c r="D138" i="5" s="1"/>
  <c r="D152" i="5" s="1"/>
  <c r="D166" i="5" s="1"/>
  <c r="D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6" i="5"/>
  <c r="B17" i="5" a="1"/>
  <c r="B17" i="5" s="1"/>
  <c r="B18" i="5" a="1"/>
  <c r="B18" i="5" s="1"/>
  <c r="B19" i="5" a="1"/>
  <c r="B19" i="5" s="1"/>
  <c r="B20" i="5" a="1"/>
  <c r="B20" i="5"/>
  <c r="B21" i="5" a="1"/>
  <c r="B21" i="5" s="1"/>
  <c r="B22" i="5" a="1"/>
  <c r="B22" i="5" s="1"/>
  <c r="B23" i="5" a="1"/>
  <c r="B23" i="5" s="1"/>
  <c r="B24" i="5" a="1"/>
  <c r="B24" i="5"/>
  <c r="B25" i="5" a="1"/>
  <c r="B25" i="5" s="1"/>
  <c r="B26" i="5" a="1"/>
  <c r="B26" i="5" s="1"/>
  <c r="B27" i="5" a="1"/>
  <c r="B27" i="5" s="1"/>
  <c r="B28" i="5" a="1"/>
  <c r="B28" i="5"/>
  <c r="B29" i="5" a="1"/>
  <c r="B29" i="5" s="1"/>
  <c r="B30" i="5" a="1"/>
  <c r="B30" i="5" s="1"/>
  <c r="B31" i="5" a="1"/>
  <c r="B31" i="5" s="1"/>
  <c r="B32" i="5" a="1"/>
  <c r="B32" i="5"/>
  <c r="B33" i="5" a="1"/>
  <c r="B33" i="5" s="1"/>
  <c r="B34" i="5" a="1"/>
  <c r="B34" i="5" s="1"/>
  <c r="B35" i="5" a="1"/>
  <c r="B35" i="5" s="1"/>
  <c r="B36" i="5" a="1"/>
  <c r="B36" i="5"/>
  <c r="B37" i="5" a="1"/>
  <c r="B37" i="5" s="1"/>
  <c r="B38" i="5" a="1"/>
  <c r="B38" i="5" s="1"/>
  <c r="B39" i="5" a="1"/>
  <c r="B39" i="5" s="1"/>
  <c r="B40" i="5" a="1"/>
  <c r="B40" i="5"/>
  <c r="B41" i="5" a="1"/>
  <c r="B41" i="5" s="1"/>
  <c r="B42" i="5" a="1"/>
  <c r="B42" i="5" s="1"/>
  <c r="B43" i="5" a="1"/>
  <c r="B43" i="5" s="1"/>
  <c r="B44" i="5" a="1"/>
  <c r="B44" i="5"/>
  <c r="B45" i="5" a="1"/>
  <c r="B45" i="5" s="1"/>
  <c r="B46" i="5" a="1"/>
  <c r="B46" i="5" s="1"/>
  <c r="B47" i="5" a="1"/>
  <c r="B47" i="5" s="1"/>
  <c r="B48" i="5" a="1"/>
  <c r="B48" i="5"/>
  <c r="B49" i="5" a="1"/>
  <c r="B49" i="5" s="1"/>
  <c r="B50" i="5" a="1"/>
  <c r="B50" i="5" s="1"/>
  <c r="B51" i="5" a="1"/>
  <c r="B51" i="5" s="1"/>
  <c r="B52" i="5" a="1"/>
  <c r="B52" i="5"/>
  <c r="B53" i="5" a="1"/>
  <c r="B53" i="5" s="1"/>
  <c r="B54" i="5" a="1"/>
  <c r="B54" i="5" s="1"/>
  <c r="B55" i="5" a="1"/>
  <c r="B55" i="5" s="1"/>
  <c r="B56" i="5" a="1"/>
  <c r="B56" i="5"/>
  <c r="B57" i="5" a="1"/>
  <c r="B57" i="5" s="1"/>
  <c r="B58" i="5" a="1"/>
  <c r="B58" i="5" s="1"/>
  <c r="B59" i="5" a="1"/>
  <c r="B59" i="5" s="1"/>
  <c r="B60" i="5" a="1"/>
  <c r="B60" i="5"/>
  <c r="B61" i="5" a="1"/>
  <c r="B61" i="5" s="1"/>
  <c r="B62" i="5" a="1"/>
  <c r="B62" i="5" s="1"/>
  <c r="B63" i="5" a="1"/>
  <c r="B63" i="5" s="1"/>
  <c r="B64" i="5" a="1"/>
  <c r="B64" i="5"/>
  <c r="B65" i="5" a="1"/>
  <c r="B65" i="5" s="1"/>
  <c r="B66" i="5" a="1"/>
  <c r="B66" i="5" s="1"/>
  <c r="B67" i="5" a="1"/>
  <c r="B67" i="5" s="1"/>
  <c r="B68" i="5" a="1"/>
  <c r="B68" i="5"/>
  <c r="B69" i="5" a="1"/>
  <c r="B69" i="5" s="1"/>
  <c r="B70" i="5" a="1"/>
  <c r="B70" i="5" s="1"/>
  <c r="B71" i="5" a="1"/>
  <c r="B71" i="5" s="1"/>
  <c r="B72" i="5" a="1"/>
  <c r="B72" i="5"/>
  <c r="B73" i="5" a="1"/>
  <c r="B73" i="5" s="1"/>
  <c r="B74" i="5" a="1"/>
  <c r="B74" i="5" s="1"/>
  <c r="B75" i="5" a="1"/>
  <c r="B75" i="5" s="1"/>
  <c r="B76" i="5" a="1"/>
  <c r="B76" i="5"/>
  <c r="B77" i="5" a="1"/>
  <c r="B77" i="5" s="1"/>
  <c r="B78" i="5" a="1"/>
  <c r="B78" i="5" s="1"/>
  <c r="B79" i="5" a="1"/>
  <c r="B79" i="5" s="1"/>
  <c r="B80" i="5" a="1"/>
  <c r="B80" i="5"/>
  <c r="B81" i="5" a="1"/>
  <c r="B81" i="5" s="1"/>
  <c r="B82" i="5" a="1"/>
  <c r="B82" i="5" s="1"/>
  <c r="B83" i="5" a="1"/>
  <c r="B83" i="5" s="1"/>
  <c r="B84" i="5" a="1"/>
  <c r="B84" i="5"/>
  <c r="B85" i="5" a="1"/>
  <c r="B85" i="5" s="1"/>
  <c r="B86" i="5" a="1"/>
  <c r="B86" i="5" s="1"/>
  <c r="B87" i="5" a="1"/>
  <c r="B87" i="5" s="1"/>
  <c r="B88" i="5" a="1"/>
  <c r="B88" i="5"/>
  <c r="B89" i="5" a="1"/>
  <c r="B89" i="5" s="1"/>
  <c r="B90" i="5" a="1"/>
  <c r="B90" i="5" s="1"/>
  <c r="B91" i="5" a="1"/>
  <c r="B91" i="5" s="1"/>
  <c r="B92" i="5" a="1"/>
  <c r="B92" i="5"/>
  <c r="B93" i="5" a="1"/>
  <c r="B93" i="5" s="1"/>
  <c r="B94" i="5" a="1"/>
  <c r="B94" i="5" s="1"/>
  <c r="B95" i="5" a="1"/>
  <c r="B95" i="5" s="1"/>
  <c r="B96" i="5" a="1"/>
  <c r="B96" i="5"/>
  <c r="B97" i="5" a="1"/>
  <c r="B97" i="5" s="1"/>
  <c r="B98" i="5" a="1"/>
  <c r="B98" i="5" s="1"/>
  <c r="B99" i="5" a="1"/>
  <c r="B99" i="5" s="1"/>
  <c r="B100" i="5" a="1"/>
  <c r="B100" i="5"/>
  <c r="B101" i="5" a="1"/>
  <c r="B101" i="5" s="1"/>
  <c r="B102" i="5" a="1"/>
  <c r="B102" i="5" s="1"/>
  <c r="B103" i="5" a="1"/>
  <c r="B103" i="5" s="1"/>
  <c r="B104" i="5" a="1"/>
  <c r="B104" i="5"/>
  <c r="B105" i="5" a="1"/>
  <c r="B105" i="5" s="1"/>
  <c r="B106" i="5" a="1"/>
  <c r="B106" i="5" s="1"/>
  <c r="B107" i="5" a="1"/>
  <c r="B107" i="5" s="1"/>
  <c r="B108" i="5" a="1"/>
  <c r="B108" i="5"/>
  <c r="B109" i="5" a="1"/>
  <c r="B109" i="5" s="1"/>
  <c r="B110" i="5" a="1"/>
  <c r="B110" i="5" s="1"/>
  <c r="B111" i="5" a="1"/>
  <c r="B111" i="5" s="1"/>
  <c r="B112" i="5" a="1"/>
  <c r="B112" i="5"/>
  <c r="B113" i="5" a="1"/>
  <c r="B113" i="5" s="1"/>
  <c r="B114" i="5" a="1"/>
  <c r="B114" i="5" s="1"/>
  <c r="B115" i="5" a="1"/>
  <c r="B115" i="5" s="1"/>
  <c r="B116" i="5" a="1"/>
  <c r="B116" i="5"/>
  <c r="B117" i="5" a="1"/>
  <c r="B117" i="5" s="1"/>
  <c r="B118" i="5" a="1"/>
  <c r="B118" i="5" s="1"/>
  <c r="B119" i="5" a="1"/>
  <c r="B119" i="5" s="1"/>
  <c r="B120" i="5" a="1"/>
  <c r="B120" i="5"/>
  <c r="B121" i="5" a="1"/>
  <c r="B121" i="5" s="1"/>
  <c r="B122" i="5" a="1"/>
  <c r="B122" i="5" s="1"/>
  <c r="B123" i="5" a="1"/>
  <c r="B123" i="5" s="1"/>
  <c r="B124" i="5" a="1"/>
  <c r="B124" i="5"/>
  <c r="B125" i="5" a="1"/>
  <c r="B125" i="5" s="1"/>
  <c r="B126" i="5" a="1"/>
  <c r="B126" i="5" s="1"/>
  <c r="B127" i="5" a="1"/>
  <c r="B127" i="5" s="1"/>
  <c r="B128" i="5" a="1"/>
  <c r="B128" i="5"/>
  <c r="B129" i="5" a="1"/>
  <c r="B129" i="5" s="1"/>
  <c r="B130" i="5" a="1"/>
  <c r="B130" i="5" s="1"/>
  <c r="B131" i="5" a="1"/>
  <c r="B131" i="5" s="1"/>
  <c r="B132" i="5" a="1"/>
  <c r="B132" i="5"/>
  <c r="B133" i="5" a="1"/>
  <c r="B133" i="5" s="1"/>
  <c r="B134" i="5" a="1"/>
  <c r="B134" i="5" s="1"/>
  <c r="B135" i="5" a="1"/>
  <c r="B135" i="5" s="1"/>
  <c r="B136" i="5" a="1"/>
  <c r="B136" i="5"/>
  <c r="B137" i="5" a="1"/>
  <c r="B137" i="5" s="1"/>
  <c r="B138" i="5" a="1"/>
  <c r="B138" i="5" s="1"/>
  <c r="B139" i="5" a="1"/>
  <c r="B139" i="5" s="1"/>
  <c r="B140" i="5" a="1"/>
  <c r="B140" i="5"/>
  <c r="B141" i="5" a="1"/>
  <c r="B141" i="5" s="1"/>
  <c r="B142" i="5" a="1"/>
  <c r="B142" i="5" s="1"/>
  <c r="B143" i="5" a="1"/>
  <c r="B143" i="5" s="1"/>
  <c r="B144" i="5" a="1"/>
  <c r="B144" i="5"/>
  <c r="B145" i="5" a="1"/>
  <c r="B145" i="5" s="1"/>
  <c r="B146" i="5" a="1"/>
  <c r="B146" i="5" s="1"/>
  <c r="B147" i="5" a="1"/>
  <c r="B147" i="5" s="1"/>
  <c r="B148" i="5" a="1"/>
  <c r="B148" i="5"/>
  <c r="B149" i="5" a="1"/>
  <c r="B149" i="5" s="1"/>
  <c r="B150" i="5" a="1"/>
  <c r="B150" i="5" s="1"/>
  <c r="B151" i="5" a="1"/>
  <c r="B151" i="5" s="1"/>
  <c r="B152" i="5" a="1"/>
  <c r="B152" i="5"/>
  <c r="B153" i="5" a="1"/>
  <c r="B153" i="5" s="1"/>
  <c r="B154" i="5" a="1"/>
  <c r="B154" i="5" s="1"/>
  <c r="B155" i="5" a="1"/>
  <c r="B155" i="5" s="1"/>
  <c r="B156" i="5" a="1"/>
  <c r="B156" i="5"/>
  <c r="B157" i="5" a="1"/>
  <c r="B157" i="5" s="1"/>
  <c r="B158" i="5" a="1"/>
  <c r="B158" i="5" s="1"/>
  <c r="B159" i="5" a="1"/>
  <c r="B159" i="5" s="1"/>
  <c r="B160" i="5" a="1"/>
  <c r="B160" i="5"/>
  <c r="B161" i="5" a="1"/>
  <c r="B161" i="5" s="1"/>
  <c r="B162" i="5" a="1"/>
  <c r="B162" i="5" s="1"/>
  <c r="B163" i="5" a="1"/>
  <c r="B163" i="5" s="1"/>
  <c r="B164" i="5" a="1"/>
  <c r="B164" i="5"/>
  <c r="B165" i="5" a="1"/>
  <c r="B165" i="5" s="1"/>
  <c r="B166" i="5" a="1"/>
  <c r="B166" i="5" s="1"/>
  <c r="B167" i="5" a="1"/>
  <c r="B167" i="5" s="1"/>
  <c r="B168" i="5" a="1"/>
  <c r="B168" i="5"/>
  <c r="B169" i="5" a="1"/>
  <c r="B169" i="5" s="1"/>
  <c r="B16" i="5" a="1"/>
  <c r="B16" i="5" s="1"/>
  <c r="F24" i="11" l="1"/>
  <c r="G24" i="11" s="1"/>
  <c r="J24" i="11" s="1"/>
  <c r="F16" i="11"/>
  <c r="G16" i="11" s="1"/>
  <c r="J16" i="11" s="1"/>
  <c r="F31" i="11"/>
  <c r="G31" i="11" s="1"/>
  <c r="J31" i="11" s="1"/>
  <c r="F38" i="11" s="1"/>
  <c r="G38" i="11" s="1"/>
  <c r="J38" i="11" s="1"/>
  <c r="F21" i="11"/>
  <c r="G21" i="11" s="1"/>
  <c r="J21" i="11" s="1"/>
  <c r="F12" i="11"/>
  <c r="G12" i="11" s="1"/>
  <c r="J12" i="11" s="1"/>
  <c r="F19" i="11"/>
  <c r="G19" i="11" s="1"/>
  <c r="J19" i="11" s="1"/>
  <c r="F11" i="11"/>
  <c r="G11" i="11" s="1"/>
  <c r="J11" i="11" s="1"/>
  <c r="F37" i="11"/>
  <c r="G37" i="11" s="1"/>
  <c r="J37" i="11" s="1"/>
  <c r="F18" i="11"/>
  <c r="G18" i="11" s="1"/>
  <c r="J18" i="11" s="1"/>
  <c r="F14" i="11"/>
  <c r="G14" i="11" s="1"/>
  <c r="J14" i="11" s="1"/>
  <c r="F29" i="11"/>
  <c r="G29" i="11" s="1"/>
  <c r="J29" i="11" s="1"/>
  <c r="F45" i="11" l="1"/>
  <c r="G45" i="11" s="1"/>
  <c r="J45" i="11" s="1"/>
  <c r="F52" i="11"/>
  <c r="G52" i="11" s="1"/>
  <c r="J52" i="11" s="1"/>
  <c r="F20" i="11"/>
  <c r="G20" i="11" s="1"/>
  <c r="J20" i="11" s="1"/>
  <c r="F65" i="11"/>
  <c r="G65" i="11" s="1"/>
  <c r="J65" i="11" s="1"/>
  <c r="F57" i="11"/>
  <c r="G57" i="11" s="1"/>
  <c r="J57" i="11" s="1"/>
  <c r="F22" i="11"/>
  <c r="G22" i="11" s="1"/>
  <c r="J22" i="11" s="1"/>
  <c r="F25" i="11"/>
  <c r="G25" i="11" s="1"/>
  <c r="J25" i="11" s="1"/>
  <c r="F71" i="11"/>
  <c r="G71" i="11" s="1"/>
  <c r="J71" i="11" s="1"/>
  <c r="F43" i="11"/>
  <c r="G43" i="11" s="1"/>
  <c r="J43" i="11" s="1"/>
  <c r="F27" i="11"/>
  <c r="G27" i="11" s="1"/>
  <c r="J27" i="11" s="1"/>
  <c r="F34" i="11"/>
  <c r="G34" i="11" s="1"/>
  <c r="J34" i="11" s="1"/>
  <c r="F32" i="11"/>
  <c r="G32" i="11" s="1"/>
  <c r="J32" i="11" s="1"/>
  <c r="F51" i="11"/>
  <c r="G51" i="11" s="1"/>
  <c r="J51" i="11" s="1"/>
  <c r="F28" i="11"/>
  <c r="G28" i="11" s="1"/>
  <c r="J28" i="11" s="1"/>
  <c r="F39" i="11" l="1"/>
  <c r="G39" i="11" s="1"/>
  <c r="J39" i="11" s="1"/>
  <c r="F26" i="11"/>
  <c r="G26" i="11" s="1"/>
  <c r="J26" i="11" s="1"/>
  <c r="F33" i="11"/>
  <c r="G33" i="11" s="1"/>
  <c r="J33" i="11" s="1"/>
  <c r="F42" i="11"/>
  <c r="G42" i="11" s="1"/>
  <c r="J42" i="11" s="1"/>
  <c r="F79" i="11"/>
  <c r="G79" i="11" s="1"/>
  <c r="J79" i="11" s="1"/>
  <c r="F59" i="11"/>
  <c r="G59" i="11" s="1"/>
  <c r="J59" i="11" s="1"/>
  <c r="F30" i="11"/>
  <c r="G30" i="11" s="1"/>
  <c r="J30" i="11" s="1"/>
  <c r="F36" i="11" l="1"/>
  <c r="G36" i="11" s="1"/>
  <c r="J36" i="11" s="1"/>
  <c r="F66" i="11"/>
  <c r="G66" i="11" s="1"/>
  <c r="J66" i="11" s="1"/>
  <c r="F48" i="11"/>
  <c r="G48" i="11" s="1"/>
  <c r="J48" i="11" s="1"/>
  <c r="F85" i="11"/>
  <c r="G85" i="11" s="1"/>
  <c r="J85" i="11" s="1"/>
  <c r="F35" i="11"/>
  <c r="G35" i="11" s="1"/>
  <c r="J35" i="11" s="1"/>
  <c r="F41" i="11"/>
  <c r="G41" i="11" s="1"/>
  <c r="J41" i="11" s="1"/>
  <c r="F73" i="11" l="1"/>
  <c r="G73" i="11" s="1"/>
  <c r="J73" i="11" s="1"/>
  <c r="F80" i="11"/>
  <c r="G80" i="11" s="1"/>
  <c r="J80" i="11" s="1"/>
  <c r="F87" i="11"/>
  <c r="G87" i="11" s="1"/>
  <c r="J87" i="11" s="1"/>
  <c r="F94" i="11" s="1"/>
  <c r="G94" i="11" s="1"/>
  <c r="J94" i="11" s="1"/>
  <c r="F44" i="11"/>
  <c r="G44" i="11" s="1"/>
  <c r="J44" i="11" s="1"/>
  <c r="F46" i="11"/>
  <c r="G46" i="11" s="1"/>
  <c r="J46" i="11" s="1"/>
  <c r="F40" i="11"/>
  <c r="G40" i="11" s="1"/>
  <c r="J40" i="11" s="1"/>
  <c r="F47" i="11" s="1"/>
  <c r="G47" i="11" s="1"/>
  <c r="J47" i="11" s="1"/>
  <c r="F93" i="11"/>
  <c r="G93" i="11" s="1"/>
  <c r="J93" i="11" s="1"/>
  <c r="F49" i="11" l="1"/>
  <c r="G49" i="11" s="1"/>
  <c r="J49" i="11" s="1"/>
  <c r="F50" i="11" l="1"/>
  <c r="G50" i="11" s="1"/>
  <c r="J50" i="11" s="1"/>
  <c r="F53" i="11" l="1"/>
  <c r="G53" i="11" s="1"/>
  <c r="J53" i="11" s="1"/>
  <c r="F54" i="11" l="1"/>
  <c r="G54" i="11" s="1"/>
  <c r="J54" i="11" s="1"/>
  <c r="F56" i="11"/>
  <c r="G56" i="11" s="1"/>
  <c r="J56" i="11" s="1"/>
  <c r="F55" i="11" l="1"/>
  <c r="G55" i="11" s="1"/>
  <c r="J55" i="11" s="1"/>
  <c r="F58" i="11" s="1"/>
  <c r="G58" i="11" s="1"/>
  <c r="J58" i="11" s="1"/>
  <c r="F60" i="11" s="1"/>
  <c r="G60" i="11" s="1"/>
  <c r="J60" i="11" s="1"/>
  <c r="F61" i="11" s="1"/>
  <c r="G61" i="11" s="1"/>
  <c r="J61" i="11" s="1"/>
  <c r="F62" i="11"/>
  <c r="G62" i="11" s="1"/>
  <c r="J62" i="11" s="1"/>
  <c r="F63" i="11" l="1"/>
  <c r="G63" i="11" s="1"/>
  <c r="J63" i="11" s="1"/>
  <c r="F64" i="11" s="1"/>
  <c r="G64" i="11" s="1"/>
  <c r="J64" i="11" s="1"/>
  <c r="F67" i="11" s="1"/>
  <c r="G67" i="11" s="1"/>
  <c r="J67" i="11" s="1"/>
  <c r="F68" i="11" s="1"/>
  <c r="G68" i="11" s="1"/>
  <c r="J68" i="11" s="1"/>
  <c r="F69" i="11" s="1"/>
  <c r="G69" i="11" s="1"/>
  <c r="J69" i="11" s="1"/>
  <c r="F70" i="11" s="1"/>
  <c r="G70" i="11" s="1"/>
  <c r="J70" i="11" s="1"/>
  <c r="F72" i="11" s="1"/>
  <c r="G72" i="11" s="1"/>
  <c r="J72" i="11" s="1"/>
  <c r="F74" i="11" s="1"/>
  <c r="G74" i="11" s="1"/>
  <c r="J74" i="11" s="1"/>
  <c r="F75" i="11" s="1"/>
  <c r="G75" i="11" s="1"/>
  <c r="J75" i="11" s="1"/>
  <c r="F76" i="11" s="1"/>
  <c r="G76" i="11" s="1"/>
  <c r="J76" i="11" s="1"/>
  <c r="F77" i="11" s="1"/>
  <c r="G77" i="11" s="1"/>
  <c r="J77" i="11" s="1"/>
  <c r="F78" i="11" s="1"/>
  <c r="G78" i="11" s="1"/>
  <c r="J78" i="11" s="1"/>
  <c r="F81" i="11" l="1"/>
  <c r="G81" i="11" s="1"/>
  <c r="J81" i="11" s="1"/>
  <c r="F82" i="11" s="1"/>
  <c r="G82" i="11" s="1"/>
  <c r="J82" i="11" s="1"/>
  <c r="F83" i="11" s="1"/>
  <c r="G83" i="11" s="1"/>
  <c r="J83" i="11" s="1"/>
  <c r="F84" i="11" s="1"/>
  <c r="G84" i="11" s="1"/>
  <c r="J84" i="11" s="1"/>
  <c r="F86" i="11" s="1"/>
  <c r="G86" i="11" s="1"/>
  <c r="J86" i="11" s="1"/>
  <c r="F88" i="11" s="1"/>
  <c r="G88" i="11" s="1"/>
  <c r="J88" i="11" s="1"/>
  <c r="F89" i="11" s="1"/>
  <c r="G89" i="11" s="1"/>
  <c r="J89" i="11" s="1"/>
  <c r="F90" i="11" s="1"/>
  <c r="G90" i="11" s="1"/>
  <c r="J90" i="11" s="1"/>
  <c r="F91" i="11" s="1"/>
  <c r="G91" i="11" s="1"/>
  <c r="J91" i="11" s="1"/>
  <c r="F92" i="11" s="1"/>
  <c r="G92" i="11" s="1"/>
  <c r="J92" i="11" s="1"/>
  <c r="F95" i="11" s="1"/>
  <c r="G95" i="11" s="1"/>
  <c r="J95" i="11" s="1"/>
  <c r="F96" i="11" s="1"/>
  <c r="G96" i="11" s="1"/>
  <c r="J96" i="11" s="1"/>
  <c r="F97" i="11" s="1"/>
  <c r="G97" i="11" s="1"/>
  <c r="J97" i="11" s="1"/>
  <c r="F98" i="11" s="1"/>
  <c r="G98" i="11" s="1"/>
  <c r="J98" i="11" s="1"/>
  <c r="F99" i="11" s="1"/>
  <c r="G99" i="11" s="1"/>
  <c r="J99" i="11" s="1"/>
  <c r="F100" i="11" l="1"/>
  <c r="G100" i="11" s="1"/>
  <c r="J100" i="11" s="1"/>
  <c r="F101" i="11" s="1"/>
  <c r="G101" i="11" s="1"/>
  <c r="J101" i="11" s="1"/>
  <c r="F102" i="11" l="1"/>
  <c r="G102" i="11" s="1"/>
  <c r="J102" i="11" s="1"/>
  <c r="F103" i="11" s="1"/>
  <c r="G103" i="11" s="1"/>
  <c r="J103" i="11" s="1"/>
  <c r="F104" i="11" s="1"/>
  <c r="G104" i="11" s="1"/>
  <c r="J104" i="11" s="1"/>
  <c r="F105" i="11" s="1"/>
  <c r="G105" i="11" s="1"/>
  <c r="J105" i="11" s="1"/>
  <c r="F106" i="11" s="1"/>
  <c r="G106" i="11" s="1"/>
  <c r="J106" i="11" s="1"/>
  <c r="F107" i="11" s="1"/>
  <c r="G107" i="11" s="1"/>
  <c r="J107" i="11" s="1"/>
  <c r="F108" i="11" s="1"/>
  <c r="G108" i="11" s="1"/>
  <c r="J108" i="11" s="1"/>
  <c r="F109" i="11" s="1"/>
  <c r="G109" i="11" s="1"/>
  <c r="J109" i="11" s="1"/>
  <c r="F110" i="11" s="1"/>
  <c r="G110" i="11" s="1"/>
  <c r="J110" i="11" s="1"/>
  <c r="F111" i="11" s="1"/>
  <c r="G111" i="11" s="1"/>
  <c r="J111" i="11" s="1"/>
  <c r="F112" i="11" s="1"/>
  <c r="G112" i="11" s="1"/>
  <c r="J112" i="11" s="1"/>
  <c r="F113" i="11" s="1"/>
  <c r="G113" i="11" s="1"/>
  <c r="J113" i="11" s="1"/>
  <c r="F114" i="11" s="1"/>
  <c r="G114" i="11" s="1"/>
  <c r="J114" i="11" s="1"/>
  <c r="F115" i="11" s="1"/>
  <c r="G115" i="11" s="1"/>
  <c r="J115" i="11" s="1"/>
  <c r="F116" i="11" s="1"/>
  <c r="G116" i="11" s="1"/>
  <c r="J116" i="11" s="1"/>
  <c r="F117" i="11" s="1"/>
  <c r="G117" i="11" s="1"/>
  <c r="J117" i="11" s="1"/>
  <c r="F118" i="11" s="1"/>
  <c r="G118" i="11" s="1"/>
  <c r="J118" i="11" s="1"/>
  <c r="F119" i="11" s="1"/>
  <c r="G119" i="11" s="1"/>
  <c r="J119" i="11" s="1"/>
  <c r="F120" i="11" s="1"/>
  <c r="G120" i="11" s="1"/>
  <c r="J120" i="11" s="1"/>
  <c r="F121" i="11" s="1"/>
  <c r="G121" i="11" s="1"/>
  <c r="J121" i="11" s="1"/>
  <c r="F122" i="11" s="1"/>
  <c r="G122" i="11" s="1"/>
  <c r="J122" i="11" s="1"/>
  <c r="F123" i="11" s="1"/>
  <c r="G123" i="11" s="1"/>
  <c r="J123" i="11" s="1"/>
  <c r="F124" i="11" s="1"/>
  <c r="G124" i="11" s="1"/>
  <c r="J124" i="11" s="1"/>
  <c r="F125" i="11" s="1"/>
  <c r="G125" i="11" s="1"/>
  <c r="J125" i="11" s="1"/>
  <c r="F126" i="11" s="1"/>
  <c r="G126" i="11" s="1"/>
  <c r="J126" i="11" s="1"/>
  <c r="F127" i="11" s="1"/>
  <c r="G127" i="11" s="1"/>
  <c r="J127" i="11" s="1"/>
  <c r="F128" i="11" s="1"/>
  <c r="G128" i="11" s="1"/>
  <c r="J128" i="11" s="1"/>
  <c r="F129" i="11" s="1"/>
  <c r="G129" i="11" s="1"/>
  <c r="J129" i="11" s="1"/>
  <c r="F130" i="11" s="1"/>
  <c r="G130" i="11" s="1"/>
  <c r="J130" i="11" s="1"/>
  <c r="F131" i="11" s="1"/>
  <c r="G131" i="11" s="1"/>
  <c r="J131" i="11" s="1"/>
  <c r="F132" i="11" s="1"/>
  <c r="G132" i="11" s="1"/>
  <c r="J132" i="11" s="1"/>
  <c r="F133" i="11" s="1"/>
  <c r="G133" i="11" s="1"/>
  <c r="J133" i="11" s="1"/>
  <c r="F134" i="11" s="1"/>
  <c r="G134" i="11" s="1"/>
  <c r="J134" i="11" s="1"/>
  <c r="F135" i="11" s="1"/>
  <c r="G135" i="11" s="1"/>
  <c r="J135" i="11" s="1"/>
  <c r="F136" i="11" s="1"/>
  <c r="G136" i="11" s="1"/>
  <c r="J136" i="11" s="1"/>
  <c r="F137" i="11" s="1"/>
  <c r="G137" i="11" s="1"/>
  <c r="J137" i="11" s="1"/>
  <c r="F138" i="11" s="1"/>
  <c r="G138" i="11" s="1"/>
  <c r="J138" i="11" s="1"/>
  <c r="F139" i="11" s="1"/>
  <c r="G139" i="11" s="1"/>
  <c r="J139" i="11" s="1"/>
  <c r="F140" i="11" s="1"/>
  <c r="G140" i="11" s="1"/>
  <c r="J140" i="11" s="1"/>
  <c r="F141" i="11" s="1"/>
  <c r="G141" i="11" s="1"/>
  <c r="J141" i="11" s="1"/>
  <c r="F142" i="11" s="1"/>
  <c r="G142" i="11" s="1"/>
  <c r="J142" i="11" s="1"/>
  <c r="F143" i="11" s="1"/>
  <c r="G143" i="11" s="1"/>
  <c r="J143" i="11" s="1"/>
  <c r="F144" i="11" s="1"/>
  <c r="G144" i="11" s="1"/>
  <c r="J144" i="11" s="1"/>
  <c r="F145" i="11" s="1"/>
  <c r="G145" i="11" s="1"/>
  <c r="J145" i="11" s="1"/>
  <c r="F146" i="11" s="1"/>
  <c r="G146" i="11" s="1"/>
  <c r="J146" i="11" s="1"/>
  <c r="F147" i="11" s="1"/>
  <c r="G147" i="11" s="1"/>
  <c r="J147" i="11" s="1"/>
  <c r="F148" i="11" s="1"/>
  <c r="G148" i="11" s="1"/>
  <c r="J148" i="11" s="1"/>
  <c r="F149" i="11" s="1"/>
  <c r="G149" i="11" s="1"/>
  <c r="J149" i="11" s="1"/>
  <c r="F150" i="11" s="1"/>
  <c r="G150" i="11" s="1"/>
  <c r="J150" i="11" s="1"/>
  <c r="F151" i="11" s="1"/>
  <c r="G151" i="11" s="1"/>
  <c r="J151" i="11" s="1"/>
  <c r="F152" i="11" s="1"/>
  <c r="G152" i="11" s="1"/>
  <c r="J152" i="11" s="1"/>
  <c r="F153" i="11" s="1"/>
  <c r="G153" i="11" s="1"/>
  <c r="J153" i="11" s="1"/>
  <c r="F154" i="11" s="1"/>
  <c r="G154" i="11" s="1"/>
  <c r="J154" i="11" s="1"/>
  <c r="F155" i="11" s="1"/>
  <c r="G155" i="11" s="1"/>
  <c r="J155" i="11" s="1"/>
  <c r="F156" i="11" s="1"/>
  <c r="G156" i="11" s="1"/>
  <c r="J156" i="11" s="1"/>
  <c r="F157" i="11" s="1"/>
  <c r="G157" i="11" s="1"/>
  <c r="J157" i="11" s="1"/>
  <c r="F158" i="11" s="1"/>
  <c r="G158" i="11" s="1"/>
  <c r="J158" i="11" s="1"/>
  <c r="F159" i="11" s="1"/>
  <c r="G159" i="11" s="1"/>
  <c r="J159" i="11" s="1"/>
  <c r="F160" i="11" s="1"/>
  <c r="G160" i="11" s="1"/>
  <c r="J160" i="11" s="1"/>
  <c r="F161" i="11" s="1"/>
  <c r="G161" i="11" s="1"/>
  <c r="J161" i="11" s="1"/>
  <c r="F162" i="11" s="1"/>
  <c r="G162" i="11" s="1"/>
  <c r="J162" i="11" s="1"/>
  <c r="F163" i="11" s="1"/>
  <c r="G163" i="11" s="1"/>
  <c r="J163" i="11" s="1"/>
  <c r="F164" i="11" s="1"/>
  <c r="G164" i="11" s="1"/>
  <c r="J164" i="11" s="1"/>
  <c r="F165" i="11" s="1"/>
  <c r="G165" i="11" s="1"/>
  <c r="J165" i="11" s="1"/>
  <c r="F166" i="11" s="1"/>
  <c r="G166" i="11" s="1"/>
  <c r="J166" i="11" s="1"/>
  <c r="F167" i="11" s="1"/>
  <c r="G167" i="11" s="1"/>
  <c r="J167" i="11" s="1"/>
  <c r="F168" i="11" s="1"/>
  <c r="G168" i="11" s="1"/>
  <c r="J168" i="11" s="1"/>
  <c r="F169" i="11" s="1"/>
  <c r="G169" i="11" s="1"/>
  <c r="J169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<sst xmlns="http://schemas.openxmlformats.org/spreadsheetml/2006/main" count="131" uniqueCount="32">
  <si>
    <t>Product</t>
  </si>
  <si>
    <t>No</t>
  </si>
  <si>
    <t>Produk</t>
  </si>
  <si>
    <t>Jumlah</t>
  </si>
  <si>
    <t>Tanggal Order</t>
  </si>
  <si>
    <t>Item / SKU</t>
  </si>
  <si>
    <t>Warehouse Capacity</t>
  </si>
  <si>
    <t>SKU PROD A</t>
  </si>
  <si>
    <t>SKU PROD B</t>
  </si>
  <si>
    <t>SKU PROD C</t>
  </si>
  <si>
    <t>SKU PROD D</t>
  </si>
  <si>
    <t>SKU PROD E</t>
  </si>
  <si>
    <t>Full Unit Capacity</t>
  </si>
  <si>
    <t>Stock Qty</t>
  </si>
  <si>
    <t>Date</t>
  </si>
  <si>
    <t>Min</t>
  </si>
  <si>
    <t>Max</t>
  </si>
  <si>
    <t>Min/Max Stock Level</t>
  </si>
  <si>
    <t>Status</t>
  </si>
  <si>
    <t>Initial Stock</t>
  </si>
  <si>
    <t>#</t>
  </si>
  <si>
    <t>Tanggal</t>
  </si>
  <si>
    <t>Demand 6 Hari</t>
  </si>
  <si>
    <t>SKU</t>
  </si>
  <si>
    <t>Demand</t>
  </si>
  <si>
    <t>Cumulative Demand</t>
  </si>
  <si>
    <t>Arrival Qty</t>
  </si>
  <si>
    <t>Stock After Demand</t>
  </si>
  <si>
    <t>Reorder Qty</t>
  </si>
  <si>
    <t>Arrival Date</t>
  </si>
  <si>
    <t>Reorder</t>
  </si>
  <si>
    <t>Kapasitas Gudang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</si>
</sst>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/>
    <xf numFmtId="15" fontId="0" fillId="0" borderId="0" xfId="0" applyNumberFormat="1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A8D89-9D01-4B74-B753-62E0235C8FD9}" name="Table1" displayName="Table1" ref="A2:B7" totalsRowShown="0">
  <autoFilter ref="A2:B7" xr:uid="{6DBA8D89-9D01-4B74-B753-62E0235C8FD9}"/>
  <tableColumns count="2">
    <tableColumn id="1" xr3:uid="{B258437F-96CA-4EEC-9FD7-28C268650995}" name="Product"/>
    <tableColumn id="2" xr3:uid="{86D79556-FADF-475B-96FE-DAF39735EDF6}" name="Full Unit 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A1294-FF11-4043-8FA3-AB7BE7C80D11}" name="Table14" displayName="Table14" ref="D2:F7" totalsRowShown="0">
  <autoFilter ref="D2:F7" xr:uid="{16AA1294-FF11-4043-8FA3-AB7BE7C80D11}"/>
  <tableColumns count="3">
    <tableColumn id="1" xr3:uid="{9E76F058-9057-4488-B3EE-6E0F73BF6AD8}" name="Product"/>
    <tableColumn id="2" xr3:uid="{24C39A6D-3EE9-4C28-8748-43E5EADD595A}" name="Min" dataDxfId="1">
      <calculatedColumnFormula>_xlfn.MINIFS('Demand Helper'!$D$2:$D$169,'Demand Helper'!$A$2:$A$169,$D3)</calculatedColumnFormula>
    </tableColumn>
    <tableColumn id="3" xr3:uid="{378B6F5B-CF40-431E-A2A6-A6A2E2DFB7E6}" name="Max" dataDxfId="0">
      <calculatedColumnFormula>_xlfn.MAXIFS('Demand Helper'!$D$2:$D$169,'Demand Helper'!$A$2:$A$169,$D3)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11B-1064-4141-A229-6DF9A65D0D02}">
  <dimension ref="A1:M169"/>
  <sheetViews>
    <sheetView zoomScale="115" zoomScaleNormal="115" workbookViewId="0">
      <selection activeCell="E161" sqref="E161"/>
    </sheetView>
  </sheetViews>
  <sheetFormatPr defaultRowHeight="14.25"/>
  <cols>
    <col min="1" max="1" width="6.375" customWidth="1"/>
    <col min="2" max="2" width="15.875" customWidth="1"/>
    <col min="3" max="3" width="17.5" customWidth="1"/>
    <col min="4" max="4" width="15.75" customWidth="1"/>
    <col min="5" max="5" width="13.625" customWidth="1"/>
    <col min="6" max="8" width="14.25" customWidth="1"/>
    <col min="9" max="9" width="16.25" customWidth="1"/>
    <col min="12" max="12" width="16.625" customWidth="1"/>
    <col min="13" max="13" width="11.875" customWidth="1"/>
  </cols>
  <sheetData>
    <row r="1" spans="1:13" ht="15">
      <c r="A1" s="2" t="s">
        <v>1</v>
      </c>
      <c r="B1" s="2" t="s">
        <v>2</v>
      </c>
      <c r="C1" s="2" t="s">
        <v>4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>
      <c r="A2">
        <v>1</v>
      </c>
      <c r="B2" t="s">
        <v>7</v>
      </c>
      <c r="C2" s="1">
        <v>46025</v>
      </c>
      <c r="D2">
        <v>1000</v>
      </c>
      <c r="M2" s="1"/>
    </row>
    <row r="3" spans="1:13">
      <c r="A3">
        <v>2</v>
      </c>
      <c r="B3" t="s">
        <v>8</v>
      </c>
      <c r="C3" s="1">
        <v>46025</v>
      </c>
      <c r="D3">
        <v>6000</v>
      </c>
      <c r="M3" s="1"/>
    </row>
    <row r="4" spans="1:13">
      <c r="A4">
        <v>3</v>
      </c>
      <c r="B4" t="s">
        <v>7</v>
      </c>
      <c r="C4" s="1">
        <v>46026</v>
      </c>
      <c r="D4">
        <v>400</v>
      </c>
      <c r="M4" s="1"/>
    </row>
    <row r="5" spans="1:13">
      <c r="A5">
        <v>4</v>
      </c>
      <c r="B5" t="s">
        <v>9</v>
      </c>
      <c r="C5" s="1">
        <v>46027</v>
      </c>
      <c r="D5">
        <v>900</v>
      </c>
      <c r="M5" s="1"/>
    </row>
    <row r="6" spans="1:13">
      <c r="A6">
        <v>5</v>
      </c>
      <c r="B6" t="s">
        <v>10</v>
      </c>
      <c r="C6" s="1">
        <v>46028</v>
      </c>
      <c r="D6">
        <v>600</v>
      </c>
      <c r="M6" s="1"/>
    </row>
    <row r="7" spans="1:13">
      <c r="A7">
        <v>6</v>
      </c>
      <c r="B7" t="s">
        <v>7</v>
      </c>
      <c r="C7" s="1">
        <v>46029</v>
      </c>
      <c r="D7">
        <v>1000</v>
      </c>
      <c r="M7" s="1"/>
    </row>
    <row r="8" spans="1:13">
      <c r="A8">
        <v>7</v>
      </c>
      <c r="B8" t="s">
        <v>9</v>
      </c>
      <c r="C8" s="1">
        <v>46031</v>
      </c>
      <c r="D8">
        <v>500</v>
      </c>
      <c r="M8" s="1"/>
    </row>
    <row r="9" spans="1:13">
      <c r="A9">
        <v>8</v>
      </c>
      <c r="B9" t="s">
        <v>11</v>
      </c>
      <c r="C9" s="1">
        <v>46034</v>
      </c>
      <c r="D9">
        <v>400</v>
      </c>
      <c r="M9" s="1"/>
    </row>
    <row r="10" spans="1:13">
      <c r="A10">
        <v>9</v>
      </c>
      <c r="B10" t="s">
        <v>8</v>
      </c>
      <c r="C10" s="1">
        <v>46035</v>
      </c>
      <c r="D10">
        <v>600</v>
      </c>
      <c r="M10" s="1"/>
    </row>
    <row r="11" spans="1:13">
      <c r="A11">
        <v>10</v>
      </c>
      <c r="B11" t="s">
        <v>10</v>
      </c>
      <c r="C11" s="1">
        <v>46039</v>
      </c>
      <c r="D11">
        <v>900</v>
      </c>
      <c r="M11" s="1"/>
    </row>
    <row r="12" spans="1:13">
      <c r="A12">
        <v>11</v>
      </c>
      <c r="B12" t="s">
        <v>9</v>
      </c>
      <c r="C12" s="1">
        <v>46042</v>
      </c>
      <c r="D12">
        <v>800</v>
      </c>
      <c r="M12" s="1"/>
    </row>
    <row r="13" spans="1:13">
      <c r="A13">
        <v>12</v>
      </c>
      <c r="B13" t="s">
        <v>7</v>
      </c>
      <c r="C13" s="1">
        <v>46046</v>
      </c>
      <c r="D13">
        <v>1000</v>
      </c>
      <c r="M13" s="1"/>
    </row>
    <row r="14" spans="1:13">
      <c r="A14">
        <v>13</v>
      </c>
      <c r="B14" t="s">
        <v>10</v>
      </c>
      <c r="C14" s="1">
        <v>46050</v>
      </c>
      <c r="D14">
        <v>3000</v>
      </c>
      <c r="M14" s="1"/>
    </row>
    <row r="15" spans="1:13">
      <c r="A15">
        <v>14</v>
      </c>
      <c r="B15" t="s">
        <v>11</v>
      </c>
      <c r="C15" s="1">
        <v>46050</v>
      </c>
      <c r="D15">
        <v>2000</v>
      </c>
      <c r="M15" s="1"/>
    </row>
    <row r="16" spans="1:13" s="3" customFormat="1">
      <c r="A16" s="3">
        <v>15</v>
      </c>
      <c r="B16" t="str" cm="1">
        <f t="array" ref="B16">INDEX($B$2:$B$15,MOD(ROW()-2,14)+1)</f>
        <v>SKU PROD A</v>
      </c>
      <c r="C16" s="4">
        <f>EDATE(INDEX($C$2:$C$15,MOD(ROW()-2,14)+1),INT((ROW()-2)/14))</f>
        <v>46056</v>
      </c>
      <c r="D16" s="3">
        <f>_xlfn.LET(
_xlpm.m,MONTH(C16),
_xlpm.d,DAY(C16),
_xlpm.f,
IF(_xlpm.m=2,IF(_xlpm.d&lt;15,1.05,1.075),
IF(_xlpm.m=3,IF(_xlpm.d&lt;20,0.98,1.015),
IF(_xlpm.m=4,IF(_xlpm.d&lt;17,1.025,0.95),
IF(_xlpm.m=5,IF(_xlpm.d&lt;22,0.95,1.05),
IF(_xlpm.m=6,0.95,
IF(_xlpm.m=7,IF(_xlpm.d&lt;10,1.15,0.95),
IF(_xlpm.m=8,IF(_xlpm.d&lt;25,0.85,1.03),
IF(_xlpm.m=9,IF(_xlpm.d&lt;25,0.85,1.03),
IF(_xlpm.m=10,IF(_xlpm.d&lt;11,0.9,0.95),
IF(_xlpm.m=11,IF(_xlpm.d&lt;13,1.12,1.06),
IF(_xlpm.m=12,IF(_xlpm.d&lt;10,1.06,1.12),1))))))))))),
ROUNDUP(D2*_xlpm.f,0)
)</f>
        <v>1050</v>
      </c>
      <c r="M16" s="4"/>
    </row>
    <row r="17" spans="1:13">
      <c r="A17">
        <v>16</v>
      </c>
      <c r="B17" t="str" cm="1">
        <f t="array" ref="B17">INDEX($B$2:$B$15,MOD(ROW()-2,14)+1)</f>
        <v>SKU PROD B</v>
      </c>
      <c r="C17" s="4">
        <f t="shared" ref="C17:C80" si="0">EDATE(INDEX($C$2:$C$15,MOD(ROW()-2,14)+1),INT((ROW()-2)/14))</f>
        <v>46056</v>
      </c>
      <c r="D17" s="3">
        <f t="shared" ref="D17:D80" si="1">_xlfn.LET(
_xlpm.m,MONTH(C17),
_xlpm.d,DAY(C17),
_xlpm.f,
IF(_xlpm.m=2,IF(_xlpm.d&lt;15,1.05,1.075),
IF(_xlpm.m=3,IF(_xlpm.d&lt;20,0.98,1.015),
IF(_xlpm.m=4,IF(_xlpm.d&lt;17,1.025,0.95),
IF(_xlpm.m=5,IF(_xlpm.d&lt;22,0.95,1.05),
IF(_xlpm.m=6,0.95,
IF(_xlpm.m=7,IF(_xlpm.d&lt;10,1.15,0.95),
IF(_xlpm.m=8,IF(_xlpm.d&lt;25,0.85,1.03),
IF(_xlpm.m=9,IF(_xlpm.d&lt;25,0.85,1.03),
IF(_xlpm.m=10,IF(_xlpm.d&lt;11,0.9,0.95),
IF(_xlpm.m=11,IF(_xlpm.d&lt;13,1.12,1.06),
IF(_xlpm.m=12,IF(_xlpm.d&lt;10,1.06,1.12),1))))))))))),
ROUNDUP(D3*_xlpm.f,0)
)</f>
        <v>6300</v>
      </c>
      <c r="M17" s="1"/>
    </row>
    <row r="18" spans="1:13">
      <c r="A18">
        <v>17</v>
      </c>
      <c r="B18" t="str" cm="1">
        <f t="array" ref="B18">INDEX($B$2:$B$15,MOD(ROW()-2,14)+1)</f>
        <v>SKU PROD A</v>
      </c>
      <c r="C18" s="4">
        <f t="shared" si="0"/>
        <v>46057</v>
      </c>
      <c r="D18" s="3">
        <f t="shared" si="1"/>
        <v>420</v>
      </c>
      <c r="M18" s="1"/>
    </row>
    <row r="19" spans="1:13">
      <c r="A19">
        <v>18</v>
      </c>
      <c r="B19" t="str" cm="1">
        <f t="array" ref="B19">INDEX($B$2:$B$15,MOD(ROW()-2,14)+1)</f>
        <v>SKU PROD C</v>
      </c>
      <c r="C19" s="4">
        <f t="shared" si="0"/>
        <v>46058</v>
      </c>
      <c r="D19" s="3">
        <f t="shared" si="1"/>
        <v>945</v>
      </c>
      <c r="M19" s="1"/>
    </row>
    <row r="20" spans="1:13">
      <c r="A20">
        <v>19</v>
      </c>
      <c r="B20" t="str" cm="1">
        <f t="array" ref="B20">INDEX($B$2:$B$15,MOD(ROW()-2,14)+1)</f>
        <v>SKU PROD D</v>
      </c>
      <c r="C20" s="4">
        <f t="shared" si="0"/>
        <v>46059</v>
      </c>
      <c r="D20" s="3">
        <f t="shared" si="1"/>
        <v>630</v>
      </c>
      <c r="M20" s="1"/>
    </row>
    <row r="21" spans="1:13">
      <c r="A21">
        <v>20</v>
      </c>
      <c r="B21" t="str" cm="1">
        <f t="array" ref="B21">INDEX($B$2:$B$15,MOD(ROW()-2,14)+1)</f>
        <v>SKU PROD A</v>
      </c>
      <c r="C21" s="4">
        <f t="shared" si="0"/>
        <v>46060</v>
      </c>
      <c r="D21" s="3">
        <f t="shared" si="1"/>
        <v>1050</v>
      </c>
      <c r="M21" s="1"/>
    </row>
    <row r="22" spans="1:13">
      <c r="A22">
        <v>21</v>
      </c>
      <c r="B22" t="str" cm="1">
        <f t="array" ref="B22">INDEX($B$2:$B$15,MOD(ROW()-2,14)+1)</f>
        <v>SKU PROD C</v>
      </c>
      <c r="C22" s="4">
        <f t="shared" si="0"/>
        <v>46062</v>
      </c>
      <c r="D22" s="3">
        <f t="shared" si="1"/>
        <v>525</v>
      </c>
      <c r="M22" s="1"/>
    </row>
    <row r="23" spans="1:13">
      <c r="A23">
        <v>22</v>
      </c>
      <c r="B23" t="str" cm="1">
        <f t="array" ref="B23">INDEX($B$2:$B$15,MOD(ROW()-2,14)+1)</f>
        <v>SKU PROD E</v>
      </c>
      <c r="C23" s="4">
        <f t="shared" si="0"/>
        <v>46065</v>
      </c>
      <c r="D23" s="3">
        <f t="shared" si="1"/>
        <v>420</v>
      </c>
      <c r="M23" s="1"/>
    </row>
    <row r="24" spans="1:13">
      <c r="A24">
        <v>23</v>
      </c>
      <c r="B24" t="str" cm="1">
        <f t="array" ref="B24">INDEX($B$2:$B$15,MOD(ROW()-2,14)+1)</f>
        <v>SKU PROD B</v>
      </c>
      <c r="C24" s="4">
        <f t="shared" si="0"/>
        <v>46066</v>
      </c>
      <c r="D24" s="3">
        <f t="shared" si="1"/>
        <v>630</v>
      </c>
      <c r="M24" s="1"/>
    </row>
    <row r="25" spans="1:13">
      <c r="A25">
        <v>24</v>
      </c>
      <c r="B25" t="str" cm="1">
        <f t="array" ref="B25">INDEX($B$2:$B$15,MOD(ROW()-2,14)+1)</f>
        <v>SKU PROD D</v>
      </c>
      <c r="C25" s="4">
        <f t="shared" si="0"/>
        <v>46070</v>
      </c>
      <c r="D25" s="3">
        <f t="shared" si="1"/>
        <v>968</v>
      </c>
      <c r="M25" s="1"/>
    </row>
    <row r="26" spans="1:13">
      <c r="A26">
        <v>25</v>
      </c>
      <c r="B26" t="str" cm="1">
        <f t="array" ref="B26">INDEX($B$2:$B$15,MOD(ROW()-2,14)+1)</f>
        <v>SKU PROD C</v>
      </c>
      <c r="C26" s="4">
        <f t="shared" si="0"/>
        <v>46073</v>
      </c>
      <c r="D26" s="3">
        <f t="shared" si="1"/>
        <v>860</v>
      </c>
      <c r="M26" s="1"/>
    </row>
    <row r="27" spans="1:13">
      <c r="A27">
        <v>26</v>
      </c>
      <c r="B27" t="str" cm="1">
        <f t="array" ref="B27">INDEX($B$2:$B$15,MOD(ROW()-2,14)+1)</f>
        <v>SKU PROD A</v>
      </c>
      <c r="C27" s="4">
        <f t="shared" si="0"/>
        <v>46077</v>
      </c>
      <c r="D27" s="3">
        <f t="shared" si="1"/>
        <v>1075</v>
      </c>
      <c r="M27" s="1"/>
    </row>
    <row r="28" spans="1:13">
      <c r="A28">
        <v>27</v>
      </c>
      <c r="B28" t="str" cm="1">
        <f t="array" ref="B28">INDEX($B$2:$B$15,MOD(ROW()-2,14)+1)</f>
        <v>SKU PROD D</v>
      </c>
      <c r="C28" s="4">
        <f t="shared" si="0"/>
        <v>46081</v>
      </c>
      <c r="D28" s="3">
        <f t="shared" si="1"/>
        <v>3225</v>
      </c>
      <c r="M28" s="1"/>
    </row>
    <row r="29" spans="1:13">
      <c r="A29">
        <v>28</v>
      </c>
      <c r="B29" t="str" cm="1">
        <f t="array" ref="B29">INDEX($B$2:$B$15,MOD(ROW()-2,14)+1)</f>
        <v>SKU PROD E</v>
      </c>
      <c r="C29" s="4">
        <f t="shared" si="0"/>
        <v>46081</v>
      </c>
      <c r="D29" s="3">
        <f t="shared" si="1"/>
        <v>2150</v>
      </c>
      <c r="M29" s="1"/>
    </row>
    <row r="30" spans="1:13">
      <c r="A30">
        <v>29</v>
      </c>
      <c r="B30" t="str" cm="1">
        <f t="array" ref="B30">INDEX($B$2:$B$15,MOD(ROW()-2,14)+1)</f>
        <v>SKU PROD A</v>
      </c>
      <c r="C30" s="4">
        <f t="shared" si="0"/>
        <v>46084</v>
      </c>
      <c r="D30" s="3">
        <f t="shared" si="1"/>
        <v>1029</v>
      </c>
      <c r="M30" s="1"/>
    </row>
    <row r="31" spans="1:13">
      <c r="A31">
        <v>30</v>
      </c>
      <c r="B31" t="str" cm="1">
        <f t="array" ref="B31">INDEX($B$2:$B$15,MOD(ROW()-2,14)+1)</f>
        <v>SKU PROD B</v>
      </c>
      <c r="C31" s="4">
        <f t="shared" si="0"/>
        <v>46084</v>
      </c>
      <c r="D31" s="3">
        <f t="shared" si="1"/>
        <v>6174</v>
      </c>
      <c r="M31" s="1"/>
    </row>
    <row r="32" spans="1:13">
      <c r="A32">
        <v>31</v>
      </c>
      <c r="B32" t="str" cm="1">
        <f t="array" ref="B32">INDEX($B$2:$B$15,MOD(ROW()-2,14)+1)</f>
        <v>SKU PROD A</v>
      </c>
      <c r="C32" s="4">
        <f t="shared" si="0"/>
        <v>46085</v>
      </c>
      <c r="D32" s="3">
        <f t="shared" si="1"/>
        <v>412</v>
      </c>
      <c r="M32" s="1"/>
    </row>
    <row r="33" spans="1:13">
      <c r="A33">
        <v>32</v>
      </c>
      <c r="B33" t="str" cm="1">
        <f t="array" ref="B33">INDEX($B$2:$B$15,MOD(ROW()-2,14)+1)</f>
        <v>SKU PROD C</v>
      </c>
      <c r="C33" s="4">
        <f t="shared" si="0"/>
        <v>46086</v>
      </c>
      <c r="D33" s="3">
        <f t="shared" si="1"/>
        <v>927</v>
      </c>
      <c r="M33" s="1"/>
    </row>
    <row r="34" spans="1:13">
      <c r="A34">
        <v>33</v>
      </c>
      <c r="B34" t="str" cm="1">
        <f t="array" ref="B34">INDEX($B$2:$B$15,MOD(ROW()-2,14)+1)</f>
        <v>SKU PROD D</v>
      </c>
      <c r="C34" s="4">
        <f t="shared" si="0"/>
        <v>46087</v>
      </c>
      <c r="D34" s="3">
        <f t="shared" si="1"/>
        <v>618</v>
      </c>
      <c r="M34" s="1"/>
    </row>
    <row r="35" spans="1:13">
      <c r="A35">
        <v>34</v>
      </c>
      <c r="B35" t="str" cm="1">
        <f t="array" ref="B35">INDEX($B$2:$B$15,MOD(ROW()-2,14)+1)</f>
        <v>SKU PROD A</v>
      </c>
      <c r="C35" s="4">
        <f t="shared" si="0"/>
        <v>46088</v>
      </c>
      <c r="D35" s="3">
        <f t="shared" si="1"/>
        <v>1029</v>
      </c>
      <c r="M35" s="1"/>
    </row>
    <row r="36" spans="1:13">
      <c r="A36">
        <v>35</v>
      </c>
      <c r="B36" t="str" cm="1">
        <f t="array" ref="B36">INDEX($B$2:$B$15,MOD(ROW()-2,14)+1)</f>
        <v>SKU PROD C</v>
      </c>
      <c r="C36" s="4">
        <f t="shared" si="0"/>
        <v>46090</v>
      </c>
      <c r="D36" s="3">
        <f t="shared" si="1"/>
        <v>515</v>
      </c>
      <c r="M36" s="1"/>
    </row>
    <row r="37" spans="1:13">
      <c r="A37">
        <v>36</v>
      </c>
      <c r="B37" t="str" cm="1">
        <f t="array" ref="B37">INDEX($B$2:$B$15,MOD(ROW()-2,14)+1)</f>
        <v>SKU PROD E</v>
      </c>
      <c r="C37" s="4">
        <f t="shared" si="0"/>
        <v>46093</v>
      </c>
      <c r="D37" s="3">
        <f t="shared" si="1"/>
        <v>412</v>
      </c>
      <c r="M37" s="1"/>
    </row>
    <row r="38" spans="1:13">
      <c r="A38">
        <v>37</v>
      </c>
      <c r="B38" t="str" cm="1">
        <f t="array" ref="B38">INDEX($B$2:$B$15,MOD(ROW()-2,14)+1)</f>
        <v>SKU PROD B</v>
      </c>
      <c r="C38" s="4">
        <f t="shared" si="0"/>
        <v>46094</v>
      </c>
      <c r="D38" s="3">
        <f t="shared" si="1"/>
        <v>618</v>
      </c>
      <c r="M38" s="1"/>
    </row>
    <row r="39" spans="1:13">
      <c r="A39">
        <v>38</v>
      </c>
      <c r="B39" t="str" cm="1">
        <f t="array" ref="B39">INDEX($B$2:$B$15,MOD(ROW()-2,14)+1)</f>
        <v>SKU PROD D</v>
      </c>
      <c r="C39" s="4">
        <f t="shared" si="0"/>
        <v>46098</v>
      </c>
      <c r="D39" s="3">
        <f t="shared" si="1"/>
        <v>949</v>
      </c>
      <c r="M39" s="1"/>
    </row>
    <row r="40" spans="1:13">
      <c r="A40">
        <v>39</v>
      </c>
      <c r="B40" t="str" cm="1">
        <f t="array" ref="B40">INDEX($B$2:$B$15,MOD(ROW()-2,14)+1)</f>
        <v>SKU PROD C</v>
      </c>
      <c r="C40" s="4">
        <f t="shared" si="0"/>
        <v>46101</v>
      </c>
      <c r="D40" s="3">
        <f t="shared" si="1"/>
        <v>873</v>
      </c>
      <c r="M40" s="1"/>
    </row>
    <row r="41" spans="1:13">
      <c r="A41">
        <v>40</v>
      </c>
      <c r="B41" t="str" cm="1">
        <f t="array" ref="B41">INDEX($B$2:$B$15,MOD(ROW()-2,14)+1)</f>
        <v>SKU PROD A</v>
      </c>
      <c r="C41" s="4">
        <f t="shared" si="0"/>
        <v>46105</v>
      </c>
      <c r="D41" s="3">
        <f t="shared" si="1"/>
        <v>1092</v>
      </c>
      <c r="M41" s="1"/>
    </row>
    <row r="42" spans="1:13">
      <c r="A42">
        <v>41</v>
      </c>
      <c r="B42" t="str" cm="1">
        <f t="array" ref="B42">INDEX($B$2:$B$15,MOD(ROW()-2,14)+1)</f>
        <v>SKU PROD D</v>
      </c>
      <c r="C42" s="4">
        <f t="shared" si="0"/>
        <v>46109</v>
      </c>
      <c r="D42" s="3">
        <f t="shared" si="1"/>
        <v>3274</v>
      </c>
      <c r="M42" s="1"/>
    </row>
    <row r="43" spans="1:13">
      <c r="A43">
        <v>42</v>
      </c>
      <c r="B43" t="str" cm="1">
        <f t="array" ref="B43">INDEX($B$2:$B$15,MOD(ROW()-2,14)+1)</f>
        <v>SKU PROD E</v>
      </c>
      <c r="C43" s="4">
        <f t="shared" si="0"/>
        <v>46109</v>
      </c>
      <c r="D43" s="3">
        <f t="shared" si="1"/>
        <v>2183</v>
      </c>
      <c r="M43" s="1"/>
    </row>
    <row r="44" spans="1:13">
      <c r="A44">
        <v>43</v>
      </c>
      <c r="B44" t="str" cm="1">
        <f t="array" ref="B44">INDEX($B$2:$B$15,MOD(ROW()-2,14)+1)</f>
        <v>SKU PROD A</v>
      </c>
      <c r="C44" s="4">
        <f t="shared" si="0"/>
        <v>46115</v>
      </c>
      <c r="D44" s="3">
        <f t="shared" si="1"/>
        <v>1055</v>
      </c>
      <c r="M44" s="1"/>
    </row>
    <row r="45" spans="1:13">
      <c r="A45">
        <v>44</v>
      </c>
      <c r="B45" t="str" cm="1">
        <f t="array" ref="B45">INDEX($B$2:$B$15,MOD(ROW()-2,14)+1)</f>
        <v>SKU PROD B</v>
      </c>
      <c r="C45" s="4">
        <f t="shared" si="0"/>
        <v>46115</v>
      </c>
      <c r="D45" s="3">
        <f t="shared" si="1"/>
        <v>6329</v>
      </c>
      <c r="M45" s="1"/>
    </row>
    <row r="46" spans="1:13">
      <c r="A46">
        <v>45</v>
      </c>
      <c r="B46" t="str" cm="1">
        <f t="array" ref="B46">INDEX($B$2:$B$15,MOD(ROW()-2,14)+1)</f>
        <v>SKU PROD A</v>
      </c>
      <c r="C46" s="4">
        <f t="shared" si="0"/>
        <v>46116</v>
      </c>
      <c r="D46" s="3">
        <f t="shared" si="1"/>
        <v>423</v>
      </c>
      <c r="M46" s="1"/>
    </row>
    <row r="47" spans="1:13">
      <c r="A47">
        <v>46</v>
      </c>
      <c r="B47" t="str" cm="1">
        <f t="array" ref="B47">INDEX($B$2:$B$15,MOD(ROW()-2,14)+1)</f>
        <v>SKU PROD C</v>
      </c>
      <c r="C47" s="4">
        <f t="shared" si="0"/>
        <v>46117</v>
      </c>
      <c r="D47" s="3">
        <f t="shared" si="1"/>
        <v>951</v>
      </c>
      <c r="M47" s="1"/>
    </row>
    <row r="48" spans="1:13">
      <c r="A48">
        <v>47</v>
      </c>
      <c r="B48" t="str" cm="1">
        <f t="array" ref="B48">INDEX($B$2:$B$15,MOD(ROW()-2,14)+1)</f>
        <v>SKU PROD D</v>
      </c>
      <c r="C48" s="4">
        <f t="shared" si="0"/>
        <v>46118</v>
      </c>
      <c r="D48" s="3">
        <f t="shared" si="1"/>
        <v>634</v>
      </c>
      <c r="M48" s="1"/>
    </row>
    <row r="49" spans="1:13">
      <c r="A49">
        <v>48</v>
      </c>
      <c r="B49" t="str" cm="1">
        <f t="array" ref="B49">INDEX($B$2:$B$15,MOD(ROW()-2,14)+1)</f>
        <v>SKU PROD A</v>
      </c>
      <c r="C49" s="4">
        <f t="shared" si="0"/>
        <v>46119</v>
      </c>
      <c r="D49" s="3">
        <f t="shared" si="1"/>
        <v>1055</v>
      </c>
      <c r="M49" s="1"/>
    </row>
    <row r="50" spans="1:13">
      <c r="A50">
        <v>49</v>
      </c>
      <c r="B50" t="str" cm="1">
        <f t="array" ref="B50">INDEX($B$2:$B$15,MOD(ROW()-2,14)+1)</f>
        <v>SKU PROD C</v>
      </c>
      <c r="C50" s="4">
        <f t="shared" si="0"/>
        <v>46121</v>
      </c>
      <c r="D50" s="3">
        <f t="shared" si="1"/>
        <v>528</v>
      </c>
      <c r="M50" s="1"/>
    </row>
    <row r="51" spans="1:13">
      <c r="A51">
        <v>50</v>
      </c>
      <c r="B51" t="str" cm="1">
        <f t="array" ref="B51">INDEX($B$2:$B$15,MOD(ROW()-2,14)+1)</f>
        <v>SKU PROD E</v>
      </c>
      <c r="C51" s="4">
        <f t="shared" si="0"/>
        <v>46124</v>
      </c>
      <c r="D51" s="3">
        <f t="shared" si="1"/>
        <v>423</v>
      </c>
      <c r="M51" s="1"/>
    </row>
    <row r="52" spans="1:13">
      <c r="A52">
        <v>51</v>
      </c>
      <c r="B52" t="str" cm="1">
        <f t="array" ref="B52">INDEX($B$2:$B$15,MOD(ROW()-2,14)+1)</f>
        <v>SKU PROD B</v>
      </c>
      <c r="C52" s="4">
        <f t="shared" si="0"/>
        <v>46125</v>
      </c>
      <c r="D52" s="3">
        <f t="shared" si="1"/>
        <v>634</v>
      </c>
      <c r="M52" s="1"/>
    </row>
    <row r="53" spans="1:13">
      <c r="A53">
        <v>52</v>
      </c>
      <c r="B53" t="str" cm="1">
        <f t="array" ref="B53">INDEX($B$2:$B$15,MOD(ROW()-2,14)+1)</f>
        <v>SKU PROD D</v>
      </c>
      <c r="C53" s="4">
        <f t="shared" si="0"/>
        <v>46129</v>
      </c>
      <c r="D53" s="3">
        <f t="shared" si="1"/>
        <v>902</v>
      </c>
      <c r="M53" s="1"/>
    </row>
    <row r="54" spans="1:13">
      <c r="A54">
        <v>53</v>
      </c>
      <c r="B54" t="str" cm="1">
        <f t="array" ref="B54">INDEX($B$2:$B$15,MOD(ROW()-2,14)+1)</f>
        <v>SKU PROD C</v>
      </c>
      <c r="C54" s="4">
        <f t="shared" si="0"/>
        <v>46132</v>
      </c>
      <c r="D54" s="3">
        <f t="shared" si="1"/>
        <v>830</v>
      </c>
      <c r="M54" s="1"/>
    </row>
    <row r="55" spans="1:13">
      <c r="A55">
        <v>54</v>
      </c>
      <c r="B55" t="str" cm="1">
        <f t="array" ref="B55">INDEX($B$2:$B$15,MOD(ROW()-2,14)+1)</f>
        <v>SKU PROD A</v>
      </c>
      <c r="C55" s="4">
        <f t="shared" si="0"/>
        <v>46136</v>
      </c>
      <c r="D55" s="3">
        <f t="shared" si="1"/>
        <v>1038</v>
      </c>
      <c r="M55" s="1"/>
    </row>
    <row r="56" spans="1:13">
      <c r="A56">
        <v>55</v>
      </c>
      <c r="B56" t="str" cm="1">
        <f t="array" ref="B56">INDEX($B$2:$B$15,MOD(ROW()-2,14)+1)</f>
        <v>SKU PROD D</v>
      </c>
      <c r="C56" s="4">
        <f t="shared" si="0"/>
        <v>46140</v>
      </c>
      <c r="D56" s="3">
        <f t="shared" si="1"/>
        <v>3111</v>
      </c>
      <c r="M56" s="1"/>
    </row>
    <row r="57" spans="1:13">
      <c r="A57">
        <v>56</v>
      </c>
      <c r="B57" t="str" cm="1">
        <f t="array" ref="B57">INDEX($B$2:$B$15,MOD(ROW()-2,14)+1)</f>
        <v>SKU PROD E</v>
      </c>
      <c r="C57" s="4">
        <f t="shared" si="0"/>
        <v>46140</v>
      </c>
      <c r="D57" s="3">
        <f t="shared" si="1"/>
        <v>2074</v>
      </c>
      <c r="M57" s="1"/>
    </row>
    <row r="58" spans="1:13">
      <c r="A58">
        <v>57</v>
      </c>
      <c r="B58" t="str" cm="1">
        <f t="array" ref="B58">INDEX($B$2:$B$15,MOD(ROW()-2,14)+1)</f>
        <v>SKU PROD A</v>
      </c>
      <c r="C58" s="4">
        <f t="shared" si="0"/>
        <v>46145</v>
      </c>
      <c r="D58" s="3">
        <f t="shared" si="1"/>
        <v>1003</v>
      </c>
      <c r="M58" s="1"/>
    </row>
    <row r="59" spans="1:13">
      <c r="A59">
        <v>58</v>
      </c>
      <c r="B59" t="str" cm="1">
        <f t="array" ref="B59">INDEX($B$2:$B$15,MOD(ROW()-2,14)+1)</f>
        <v>SKU PROD B</v>
      </c>
      <c r="C59" s="4">
        <f t="shared" si="0"/>
        <v>46145</v>
      </c>
      <c r="D59" s="3">
        <f t="shared" si="1"/>
        <v>6013</v>
      </c>
      <c r="M59" s="1"/>
    </row>
    <row r="60" spans="1:13">
      <c r="A60">
        <v>59</v>
      </c>
      <c r="B60" t="str" cm="1">
        <f t="array" ref="B60">INDEX($B$2:$B$15,MOD(ROW()-2,14)+1)</f>
        <v>SKU PROD A</v>
      </c>
      <c r="C60" s="4">
        <f t="shared" si="0"/>
        <v>46146</v>
      </c>
      <c r="D60" s="3">
        <f t="shared" si="1"/>
        <v>402</v>
      </c>
      <c r="M60" s="1"/>
    </row>
    <row r="61" spans="1:13">
      <c r="A61">
        <v>60</v>
      </c>
      <c r="B61" t="str" cm="1">
        <f t="array" ref="B61">INDEX($B$2:$B$15,MOD(ROW()-2,14)+1)</f>
        <v>SKU PROD C</v>
      </c>
      <c r="C61" s="4">
        <f t="shared" si="0"/>
        <v>46147</v>
      </c>
      <c r="D61" s="3">
        <f t="shared" si="1"/>
        <v>904</v>
      </c>
      <c r="M61" s="1"/>
    </row>
    <row r="62" spans="1:13">
      <c r="A62">
        <v>61</v>
      </c>
      <c r="B62" t="str" cm="1">
        <f t="array" ref="B62">INDEX($B$2:$B$15,MOD(ROW()-2,14)+1)</f>
        <v>SKU PROD D</v>
      </c>
      <c r="C62" s="4">
        <f t="shared" si="0"/>
        <v>46148</v>
      </c>
      <c r="D62" s="3">
        <f t="shared" si="1"/>
        <v>603</v>
      </c>
      <c r="M62" s="1"/>
    </row>
    <row r="63" spans="1:13">
      <c r="A63">
        <v>62</v>
      </c>
      <c r="B63" t="str" cm="1">
        <f t="array" ref="B63">INDEX($B$2:$B$15,MOD(ROW()-2,14)+1)</f>
        <v>SKU PROD A</v>
      </c>
      <c r="C63" s="4">
        <f t="shared" si="0"/>
        <v>46149</v>
      </c>
      <c r="D63" s="3">
        <f t="shared" si="1"/>
        <v>1003</v>
      </c>
      <c r="M63" s="1"/>
    </row>
    <row r="64" spans="1:13">
      <c r="A64">
        <v>63</v>
      </c>
      <c r="B64" t="str" cm="1">
        <f t="array" ref="B64">INDEX($B$2:$B$15,MOD(ROW()-2,14)+1)</f>
        <v>SKU PROD C</v>
      </c>
      <c r="C64" s="4">
        <f t="shared" si="0"/>
        <v>46151</v>
      </c>
      <c r="D64" s="3">
        <f t="shared" si="1"/>
        <v>502</v>
      </c>
      <c r="M64" s="1"/>
    </row>
    <row r="65" spans="1:13">
      <c r="A65">
        <v>64</v>
      </c>
      <c r="B65" t="str" cm="1">
        <f t="array" ref="B65">INDEX($B$2:$B$15,MOD(ROW()-2,14)+1)</f>
        <v>SKU PROD E</v>
      </c>
      <c r="C65" s="4">
        <f t="shared" si="0"/>
        <v>46154</v>
      </c>
      <c r="D65" s="3">
        <f t="shared" si="1"/>
        <v>402</v>
      </c>
      <c r="M65" s="1"/>
    </row>
    <row r="66" spans="1:13">
      <c r="A66">
        <v>65</v>
      </c>
      <c r="B66" t="str" cm="1">
        <f t="array" ref="B66">INDEX($B$2:$B$15,MOD(ROW()-2,14)+1)</f>
        <v>SKU PROD B</v>
      </c>
      <c r="C66" s="4">
        <f t="shared" si="0"/>
        <v>46155</v>
      </c>
      <c r="D66" s="3">
        <f t="shared" si="1"/>
        <v>603</v>
      </c>
      <c r="M66" s="1"/>
    </row>
    <row r="67" spans="1:13">
      <c r="A67">
        <v>66</v>
      </c>
      <c r="B67" t="str" cm="1">
        <f t="array" ref="B67">INDEX($B$2:$B$15,MOD(ROW()-2,14)+1)</f>
        <v>SKU PROD D</v>
      </c>
      <c r="C67" s="4">
        <f t="shared" si="0"/>
        <v>46159</v>
      </c>
      <c r="D67" s="3">
        <f t="shared" si="1"/>
        <v>857</v>
      </c>
      <c r="M67" s="1"/>
    </row>
    <row r="68" spans="1:13">
      <c r="A68">
        <v>67</v>
      </c>
      <c r="B68" t="str" cm="1">
        <f t="array" ref="B68">INDEX($B$2:$B$15,MOD(ROW()-2,14)+1)</f>
        <v>SKU PROD C</v>
      </c>
      <c r="C68" s="4">
        <f t="shared" si="0"/>
        <v>46162</v>
      </c>
      <c r="D68" s="3">
        <f t="shared" si="1"/>
        <v>789</v>
      </c>
      <c r="M68" s="1"/>
    </row>
    <row r="69" spans="1:13">
      <c r="A69">
        <v>68</v>
      </c>
      <c r="B69" t="str" cm="1">
        <f t="array" ref="B69">INDEX($B$2:$B$15,MOD(ROW()-2,14)+1)</f>
        <v>SKU PROD A</v>
      </c>
      <c r="C69" s="4">
        <f t="shared" si="0"/>
        <v>46166</v>
      </c>
      <c r="D69" s="3">
        <f t="shared" si="1"/>
        <v>1090</v>
      </c>
      <c r="M69" s="1"/>
    </row>
    <row r="70" spans="1:13">
      <c r="A70">
        <v>69</v>
      </c>
      <c r="B70" t="str" cm="1">
        <f t="array" ref="B70">INDEX($B$2:$B$15,MOD(ROW()-2,14)+1)</f>
        <v>SKU PROD D</v>
      </c>
      <c r="C70" s="4">
        <f t="shared" si="0"/>
        <v>46170</v>
      </c>
      <c r="D70" s="3">
        <f t="shared" si="1"/>
        <v>3267</v>
      </c>
      <c r="M70" s="1"/>
    </row>
    <row r="71" spans="1:13">
      <c r="A71">
        <v>70</v>
      </c>
      <c r="B71" t="str" cm="1">
        <f t="array" ref="B71">INDEX($B$2:$B$15,MOD(ROW()-2,14)+1)</f>
        <v>SKU PROD E</v>
      </c>
      <c r="C71" s="4">
        <f t="shared" si="0"/>
        <v>46170</v>
      </c>
      <c r="D71" s="3">
        <f t="shared" si="1"/>
        <v>2178</v>
      </c>
      <c r="M71" s="1"/>
    </row>
    <row r="72" spans="1:13">
      <c r="A72">
        <v>71</v>
      </c>
      <c r="B72" t="str" cm="1">
        <f t="array" ref="B72">INDEX($B$2:$B$15,MOD(ROW()-2,14)+1)</f>
        <v>SKU PROD A</v>
      </c>
      <c r="C72" s="4">
        <f t="shared" si="0"/>
        <v>46176</v>
      </c>
      <c r="D72" s="3">
        <f t="shared" si="1"/>
        <v>953</v>
      </c>
      <c r="M72" s="1"/>
    </row>
    <row r="73" spans="1:13">
      <c r="A73">
        <v>72</v>
      </c>
      <c r="B73" t="str" cm="1">
        <f t="array" ref="B73">INDEX($B$2:$B$15,MOD(ROW()-2,14)+1)</f>
        <v>SKU PROD B</v>
      </c>
      <c r="C73" s="4">
        <f t="shared" si="0"/>
        <v>46176</v>
      </c>
      <c r="D73" s="3">
        <f t="shared" si="1"/>
        <v>5713</v>
      </c>
      <c r="M73" s="1"/>
    </row>
    <row r="74" spans="1:13">
      <c r="A74">
        <v>73</v>
      </c>
      <c r="B74" t="str" cm="1">
        <f t="array" ref="B74">INDEX($B$2:$B$15,MOD(ROW()-2,14)+1)</f>
        <v>SKU PROD A</v>
      </c>
      <c r="C74" s="4">
        <f t="shared" si="0"/>
        <v>46177</v>
      </c>
      <c r="D74" s="3">
        <f t="shared" si="1"/>
        <v>382</v>
      </c>
      <c r="M74" s="1"/>
    </row>
    <row r="75" spans="1:13">
      <c r="A75">
        <v>74</v>
      </c>
      <c r="B75" t="str" cm="1">
        <f t="array" ref="B75">INDEX($B$2:$B$15,MOD(ROW()-2,14)+1)</f>
        <v>SKU PROD C</v>
      </c>
      <c r="C75" s="4">
        <f t="shared" si="0"/>
        <v>46178</v>
      </c>
      <c r="D75" s="3">
        <f t="shared" si="1"/>
        <v>859</v>
      </c>
      <c r="M75" s="1"/>
    </row>
    <row r="76" spans="1:13">
      <c r="A76">
        <v>75</v>
      </c>
      <c r="B76" t="str" cm="1">
        <f t="array" ref="B76">INDEX($B$2:$B$15,MOD(ROW()-2,14)+1)</f>
        <v>SKU PROD D</v>
      </c>
      <c r="C76" s="4">
        <f t="shared" si="0"/>
        <v>46179</v>
      </c>
      <c r="D76" s="3">
        <f t="shared" si="1"/>
        <v>573</v>
      </c>
      <c r="M76" s="1"/>
    </row>
    <row r="77" spans="1:13">
      <c r="A77">
        <v>76</v>
      </c>
      <c r="B77" t="str" cm="1">
        <f t="array" ref="B77">INDEX($B$2:$B$15,MOD(ROW()-2,14)+1)</f>
        <v>SKU PROD A</v>
      </c>
      <c r="C77" s="4">
        <f t="shared" si="0"/>
        <v>46180</v>
      </c>
      <c r="D77" s="3">
        <f t="shared" si="1"/>
        <v>953</v>
      </c>
      <c r="M77" s="1"/>
    </row>
    <row r="78" spans="1:13">
      <c r="A78">
        <v>77</v>
      </c>
      <c r="B78" t="str" cm="1">
        <f t="array" ref="B78">INDEX($B$2:$B$15,MOD(ROW()-2,14)+1)</f>
        <v>SKU PROD C</v>
      </c>
      <c r="C78" s="4">
        <f t="shared" si="0"/>
        <v>46182</v>
      </c>
      <c r="D78" s="3">
        <f t="shared" si="1"/>
        <v>477</v>
      </c>
      <c r="M78" s="1"/>
    </row>
    <row r="79" spans="1:13">
      <c r="A79">
        <v>78</v>
      </c>
      <c r="B79" t="str" cm="1">
        <f t="array" ref="B79">INDEX($B$2:$B$15,MOD(ROW()-2,14)+1)</f>
        <v>SKU PROD E</v>
      </c>
      <c r="C79" s="4">
        <f t="shared" si="0"/>
        <v>46185</v>
      </c>
      <c r="D79" s="3">
        <f t="shared" si="1"/>
        <v>382</v>
      </c>
      <c r="M79" s="1"/>
    </row>
    <row r="80" spans="1:13">
      <c r="A80">
        <v>79</v>
      </c>
      <c r="B80" t="str" cm="1">
        <f t="array" ref="B80">INDEX($B$2:$B$15,MOD(ROW()-2,14)+1)</f>
        <v>SKU PROD B</v>
      </c>
      <c r="C80" s="4">
        <f t="shared" si="0"/>
        <v>46186</v>
      </c>
      <c r="D80" s="3">
        <f t="shared" si="1"/>
        <v>573</v>
      </c>
      <c r="M80" s="1"/>
    </row>
    <row r="81" spans="1:13">
      <c r="A81">
        <v>80</v>
      </c>
      <c r="B81" t="str" cm="1">
        <f t="array" ref="B81">INDEX($B$2:$B$15,MOD(ROW()-2,14)+1)</f>
        <v>SKU PROD D</v>
      </c>
      <c r="C81" s="4">
        <f t="shared" ref="C81:C144" si="2">EDATE(INDEX($C$2:$C$15,MOD(ROW()-2,14)+1),INT((ROW()-2)/14))</f>
        <v>46190</v>
      </c>
      <c r="D81" s="3">
        <f t="shared" ref="D81:D144" si="3">_xlfn.LET(
_xlpm.m,MONTH(C81),
_xlpm.d,DAY(C81),
_xlpm.f,
IF(_xlpm.m=2,IF(_xlpm.d&lt;15,1.05,1.075),
IF(_xlpm.m=3,IF(_xlpm.d&lt;20,0.98,1.015),
IF(_xlpm.m=4,IF(_xlpm.d&lt;17,1.025,0.95),
IF(_xlpm.m=5,IF(_xlpm.d&lt;22,0.95,1.05),
IF(_xlpm.m=6,0.95,
IF(_xlpm.m=7,IF(_xlpm.d&lt;10,1.15,0.95),
IF(_xlpm.m=8,IF(_xlpm.d&lt;25,0.85,1.03),
IF(_xlpm.m=9,IF(_xlpm.d&lt;25,0.85,1.03),
IF(_xlpm.m=10,IF(_xlpm.d&lt;11,0.9,0.95),
IF(_xlpm.m=11,IF(_xlpm.d&lt;13,1.12,1.06),
IF(_xlpm.m=12,IF(_xlpm.d&lt;10,1.06,1.12),1))))))))))),
ROUNDUP(D67*_xlpm.f,0)
)</f>
        <v>815</v>
      </c>
      <c r="M81" s="1"/>
    </row>
    <row r="82" spans="1:13">
      <c r="A82">
        <v>81</v>
      </c>
      <c r="B82" t="str" cm="1">
        <f t="array" ref="B82">INDEX($B$2:$B$15,MOD(ROW()-2,14)+1)</f>
        <v>SKU PROD C</v>
      </c>
      <c r="C82" s="4">
        <f t="shared" si="2"/>
        <v>46193</v>
      </c>
      <c r="D82" s="3">
        <f t="shared" si="3"/>
        <v>750</v>
      </c>
      <c r="M82" s="1"/>
    </row>
    <row r="83" spans="1:13">
      <c r="A83">
        <v>82</v>
      </c>
      <c r="B83" t="str" cm="1">
        <f t="array" ref="B83">INDEX($B$2:$B$15,MOD(ROW()-2,14)+1)</f>
        <v>SKU PROD A</v>
      </c>
      <c r="C83" s="4">
        <f t="shared" si="2"/>
        <v>46197</v>
      </c>
      <c r="D83" s="3">
        <f t="shared" si="3"/>
        <v>1036</v>
      </c>
      <c r="M83" s="1"/>
    </row>
    <row r="84" spans="1:13">
      <c r="A84">
        <v>83</v>
      </c>
      <c r="B84" t="str" cm="1">
        <f t="array" ref="B84">INDEX($B$2:$B$15,MOD(ROW()-2,14)+1)</f>
        <v>SKU PROD D</v>
      </c>
      <c r="C84" s="4">
        <f t="shared" si="2"/>
        <v>46201</v>
      </c>
      <c r="D84" s="3">
        <f t="shared" si="3"/>
        <v>3104</v>
      </c>
      <c r="M84" s="1"/>
    </row>
    <row r="85" spans="1:13">
      <c r="A85">
        <v>84</v>
      </c>
      <c r="B85" t="str" cm="1">
        <f t="array" ref="B85">INDEX($B$2:$B$15,MOD(ROW()-2,14)+1)</f>
        <v>SKU PROD E</v>
      </c>
      <c r="C85" s="4">
        <f t="shared" si="2"/>
        <v>46201</v>
      </c>
      <c r="D85" s="3">
        <f t="shared" si="3"/>
        <v>2070</v>
      </c>
      <c r="M85" s="1"/>
    </row>
    <row r="86" spans="1:13">
      <c r="A86">
        <v>85</v>
      </c>
      <c r="B86" t="str" cm="1">
        <f t="array" ref="B86">INDEX($B$2:$B$15,MOD(ROW()-2,14)+1)</f>
        <v>SKU PROD A</v>
      </c>
      <c r="C86" s="4">
        <f t="shared" si="2"/>
        <v>46206</v>
      </c>
      <c r="D86" s="3">
        <f t="shared" si="3"/>
        <v>1096</v>
      </c>
      <c r="M86" s="1"/>
    </row>
    <row r="87" spans="1:13">
      <c r="A87">
        <v>86</v>
      </c>
      <c r="B87" t="str" cm="1">
        <f t="array" ref="B87">INDEX($B$2:$B$15,MOD(ROW()-2,14)+1)</f>
        <v>SKU PROD B</v>
      </c>
      <c r="C87" s="4">
        <f t="shared" si="2"/>
        <v>46206</v>
      </c>
      <c r="D87" s="3">
        <f t="shared" si="3"/>
        <v>6570</v>
      </c>
      <c r="M87" s="1"/>
    </row>
    <row r="88" spans="1:13">
      <c r="A88">
        <v>87</v>
      </c>
      <c r="B88" t="str" cm="1">
        <f t="array" ref="B88">INDEX($B$2:$B$15,MOD(ROW()-2,14)+1)</f>
        <v>SKU PROD A</v>
      </c>
      <c r="C88" s="4">
        <f t="shared" si="2"/>
        <v>46207</v>
      </c>
      <c r="D88" s="3">
        <f t="shared" si="3"/>
        <v>440</v>
      </c>
      <c r="M88" s="1"/>
    </row>
    <row r="89" spans="1:13">
      <c r="A89">
        <v>88</v>
      </c>
      <c r="B89" t="str" cm="1">
        <f t="array" ref="B89">INDEX($B$2:$B$15,MOD(ROW()-2,14)+1)</f>
        <v>SKU PROD C</v>
      </c>
      <c r="C89" s="4">
        <f t="shared" si="2"/>
        <v>46208</v>
      </c>
      <c r="D89" s="3">
        <f t="shared" si="3"/>
        <v>988</v>
      </c>
      <c r="M89" s="1"/>
    </row>
    <row r="90" spans="1:13">
      <c r="A90">
        <v>89</v>
      </c>
      <c r="B90" t="str" cm="1">
        <f t="array" ref="B90">INDEX($B$2:$B$15,MOD(ROW()-2,14)+1)</f>
        <v>SKU PROD D</v>
      </c>
      <c r="C90" s="4">
        <f t="shared" si="2"/>
        <v>46209</v>
      </c>
      <c r="D90" s="3">
        <f t="shared" si="3"/>
        <v>659</v>
      </c>
      <c r="M90" s="1"/>
    </row>
    <row r="91" spans="1:13">
      <c r="A91">
        <v>90</v>
      </c>
      <c r="B91" t="str" cm="1">
        <f t="array" ref="B91">INDEX($B$2:$B$15,MOD(ROW()-2,14)+1)</f>
        <v>SKU PROD A</v>
      </c>
      <c r="C91" s="4">
        <f t="shared" si="2"/>
        <v>46210</v>
      </c>
      <c r="D91" s="3">
        <f t="shared" si="3"/>
        <v>1096</v>
      </c>
      <c r="M91" s="1"/>
    </row>
    <row r="92" spans="1:13">
      <c r="A92">
        <v>91</v>
      </c>
      <c r="B92" t="str" cm="1">
        <f t="array" ref="B92">INDEX($B$2:$B$15,MOD(ROW()-2,14)+1)</f>
        <v>SKU PROD C</v>
      </c>
      <c r="C92" s="4">
        <f t="shared" si="2"/>
        <v>46212</v>
      </c>
      <c r="D92" s="3">
        <f t="shared" si="3"/>
        <v>549</v>
      </c>
      <c r="M92" s="1"/>
    </row>
    <row r="93" spans="1:13">
      <c r="A93">
        <v>92</v>
      </c>
      <c r="B93" t="str" cm="1">
        <f t="array" ref="B93">INDEX($B$2:$B$15,MOD(ROW()-2,14)+1)</f>
        <v>SKU PROD E</v>
      </c>
      <c r="C93" s="4">
        <f t="shared" si="2"/>
        <v>46215</v>
      </c>
      <c r="D93" s="3">
        <f t="shared" si="3"/>
        <v>363</v>
      </c>
      <c r="M93" s="1"/>
    </row>
    <row r="94" spans="1:13">
      <c r="A94">
        <v>93</v>
      </c>
      <c r="B94" t="str" cm="1">
        <f t="array" ref="B94">INDEX($B$2:$B$15,MOD(ROW()-2,14)+1)</f>
        <v>SKU PROD B</v>
      </c>
      <c r="C94" s="4">
        <f t="shared" si="2"/>
        <v>46216</v>
      </c>
      <c r="D94" s="3">
        <f t="shared" si="3"/>
        <v>545</v>
      </c>
      <c r="M94" s="1"/>
    </row>
    <row r="95" spans="1:13">
      <c r="A95">
        <v>94</v>
      </c>
      <c r="B95" t="str" cm="1">
        <f t="array" ref="B95">INDEX($B$2:$B$15,MOD(ROW()-2,14)+1)</f>
        <v>SKU PROD D</v>
      </c>
      <c r="C95" s="4">
        <f t="shared" si="2"/>
        <v>46220</v>
      </c>
      <c r="D95" s="3">
        <f t="shared" si="3"/>
        <v>775</v>
      </c>
      <c r="M95" s="1"/>
    </row>
    <row r="96" spans="1:13">
      <c r="A96">
        <v>95</v>
      </c>
      <c r="B96" t="str" cm="1">
        <f t="array" ref="B96">INDEX($B$2:$B$15,MOD(ROW()-2,14)+1)</f>
        <v>SKU PROD C</v>
      </c>
      <c r="C96" s="4">
        <f t="shared" si="2"/>
        <v>46223</v>
      </c>
      <c r="D96" s="3">
        <f t="shared" si="3"/>
        <v>713</v>
      </c>
      <c r="M96" s="1"/>
    </row>
    <row r="97" spans="1:13">
      <c r="A97">
        <v>96</v>
      </c>
      <c r="B97" t="str" cm="1">
        <f t="array" ref="B97">INDEX($B$2:$B$15,MOD(ROW()-2,14)+1)</f>
        <v>SKU PROD A</v>
      </c>
      <c r="C97" s="4">
        <f t="shared" si="2"/>
        <v>46227</v>
      </c>
      <c r="D97" s="3">
        <f t="shared" si="3"/>
        <v>985</v>
      </c>
      <c r="M97" s="1"/>
    </row>
    <row r="98" spans="1:13">
      <c r="A98">
        <v>97</v>
      </c>
      <c r="B98" t="str" cm="1">
        <f t="array" ref="B98">INDEX($B$2:$B$15,MOD(ROW()-2,14)+1)</f>
        <v>SKU PROD D</v>
      </c>
      <c r="C98" s="4">
        <f t="shared" si="2"/>
        <v>46231</v>
      </c>
      <c r="D98" s="3">
        <f t="shared" si="3"/>
        <v>2949</v>
      </c>
      <c r="M98" s="1"/>
    </row>
    <row r="99" spans="1:13">
      <c r="A99">
        <v>98</v>
      </c>
      <c r="B99" t="str" cm="1">
        <f t="array" ref="B99">INDEX($B$2:$B$15,MOD(ROW()-2,14)+1)</f>
        <v>SKU PROD E</v>
      </c>
      <c r="C99" s="4">
        <f t="shared" si="2"/>
        <v>46231</v>
      </c>
      <c r="D99" s="3">
        <f t="shared" si="3"/>
        <v>1967</v>
      </c>
      <c r="M99" s="1"/>
    </row>
    <row r="100" spans="1:13">
      <c r="A100">
        <v>99</v>
      </c>
      <c r="B100" t="str" cm="1">
        <f t="array" ref="B100">INDEX($B$2:$B$15,MOD(ROW()-2,14)+1)</f>
        <v>SKU PROD A</v>
      </c>
      <c r="C100" s="4">
        <f t="shared" si="2"/>
        <v>46237</v>
      </c>
      <c r="D100" s="3">
        <f t="shared" si="3"/>
        <v>932</v>
      </c>
      <c r="M100" s="1"/>
    </row>
    <row r="101" spans="1:13">
      <c r="A101">
        <v>100</v>
      </c>
      <c r="B101" t="str" cm="1">
        <f t="array" ref="B101">INDEX($B$2:$B$15,MOD(ROW()-2,14)+1)</f>
        <v>SKU PROD B</v>
      </c>
      <c r="C101" s="4">
        <f t="shared" si="2"/>
        <v>46237</v>
      </c>
      <c r="D101" s="3">
        <f t="shared" si="3"/>
        <v>5585</v>
      </c>
      <c r="M101" s="1"/>
    </row>
    <row r="102" spans="1:13">
      <c r="A102">
        <v>101</v>
      </c>
      <c r="B102" t="str" cm="1">
        <f t="array" ref="B102">INDEX($B$2:$B$15,MOD(ROW()-2,14)+1)</f>
        <v>SKU PROD A</v>
      </c>
      <c r="C102" s="4">
        <f t="shared" si="2"/>
        <v>46238</v>
      </c>
      <c r="D102" s="3">
        <f t="shared" si="3"/>
        <v>374</v>
      </c>
      <c r="M102" s="1"/>
    </row>
    <row r="103" spans="1:13">
      <c r="A103">
        <v>102</v>
      </c>
      <c r="B103" t="str" cm="1">
        <f t="array" ref="B103">INDEX($B$2:$B$15,MOD(ROW()-2,14)+1)</f>
        <v>SKU PROD C</v>
      </c>
      <c r="C103" s="4">
        <f t="shared" si="2"/>
        <v>46239</v>
      </c>
      <c r="D103" s="3">
        <f t="shared" si="3"/>
        <v>840</v>
      </c>
      <c r="M103" s="1"/>
    </row>
    <row r="104" spans="1:13">
      <c r="A104">
        <v>103</v>
      </c>
      <c r="B104" t="str" cm="1">
        <f t="array" ref="B104">INDEX($B$2:$B$15,MOD(ROW()-2,14)+1)</f>
        <v>SKU PROD D</v>
      </c>
      <c r="C104" s="4">
        <f t="shared" si="2"/>
        <v>46240</v>
      </c>
      <c r="D104" s="3">
        <f t="shared" si="3"/>
        <v>561</v>
      </c>
      <c r="M104" s="1"/>
    </row>
    <row r="105" spans="1:13">
      <c r="A105">
        <v>104</v>
      </c>
      <c r="B105" t="str" cm="1">
        <f t="array" ref="B105">INDEX($B$2:$B$15,MOD(ROW()-2,14)+1)</f>
        <v>SKU PROD A</v>
      </c>
      <c r="C105" s="4">
        <f t="shared" si="2"/>
        <v>46241</v>
      </c>
      <c r="D105" s="3">
        <f t="shared" si="3"/>
        <v>932</v>
      </c>
      <c r="M105" s="1"/>
    </row>
    <row r="106" spans="1:13">
      <c r="A106">
        <v>105</v>
      </c>
      <c r="B106" t="str" cm="1">
        <f t="array" ref="B106">INDEX($B$2:$B$15,MOD(ROW()-2,14)+1)</f>
        <v>SKU PROD C</v>
      </c>
      <c r="C106" s="4">
        <f t="shared" si="2"/>
        <v>46243</v>
      </c>
      <c r="D106" s="3">
        <f t="shared" si="3"/>
        <v>467</v>
      </c>
      <c r="M106" s="1"/>
    </row>
    <row r="107" spans="1:13">
      <c r="A107">
        <v>106</v>
      </c>
      <c r="B107" t="str" cm="1">
        <f t="array" ref="B107">INDEX($B$2:$B$15,MOD(ROW()-2,14)+1)</f>
        <v>SKU PROD E</v>
      </c>
      <c r="C107" s="4">
        <f t="shared" si="2"/>
        <v>46246</v>
      </c>
      <c r="D107" s="3">
        <f t="shared" si="3"/>
        <v>309</v>
      </c>
      <c r="M107" s="1"/>
    </row>
    <row r="108" spans="1:13">
      <c r="A108">
        <v>107</v>
      </c>
      <c r="B108" t="str" cm="1">
        <f t="array" ref="B108">INDEX($B$2:$B$15,MOD(ROW()-2,14)+1)</f>
        <v>SKU PROD B</v>
      </c>
      <c r="C108" s="4">
        <f t="shared" si="2"/>
        <v>46247</v>
      </c>
      <c r="D108" s="3">
        <f t="shared" si="3"/>
        <v>464</v>
      </c>
      <c r="M108" s="1"/>
    </row>
    <row r="109" spans="1:13">
      <c r="A109">
        <v>108</v>
      </c>
      <c r="B109" t="str" cm="1">
        <f t="array" ref="B109">INDEX($B$2:$B$15,MOD(ROW()-2,14)+1)</f>
        <v>SKU PROD D</v>
      </c>
      <c r="C109" s="4">
        <f t="shared" si="2"/>
        <v>46251</v>
      </c>
      <c r="D109" s="3">
        <f t="shared" si="3"/>
        <v>659</v>
      </c>
      <c r="M109" s="1"/>
    </row>
    <row r="110" spans="1:13">
      <c r="A110">
        <v>109</v>
      </c>
      <c r="B110" t="str" cm="1">
        <f t="array" ref="B110">INDEX($B$2:$B$15,MOD(ROW()-2,14)+1)</f>
        <v>SKU PROD C</v>
      </c>
      <c r="C110" s="4">
        <f t="shared" si="2"/>
        <v>46254</v>
      </c>
      <c r="D110" s="3">
        <f t="shared" si="3"/>
        <v>607</v>
      </c>
      <c r="M110" s="1"/>
    </row>
    <row r="111" spans="1:13">
      <c r="A111">
        <v>110</v>
      </c>
      <c r="B111" t="str" cm="1">
        <f t="array" ref="B111">INDEX($B$2:$B$15,MOD(ROW()-2,14)+1)</f>
        <v>SKU PROD A</v>
      </c>
      <c r="C111" s="4">
        <f t="shared" si="2"/>
        <v>46258</v>
      </c>
      <c r="D111" s="3">
        <f t="shared" si="3"/>
        <v>838</v>
      </c>
      <c r="M111" s="1"/>
    </row>
    <row r="112" spans="1:13">
      <c r="A112">
        <v>111</v>
      </c>
      <c r="B112" t="str" cm="1">
        <f t="array" ref="B112">INDEX($B$2:$B$15,MOD(ROW()-2,14)+1)</f>
        <v>SKU PROD D</v>
      </c>
      <c r="C112" s="4">
        <f t="shared" si="2"/>
        <v>46262</v>
      </c>
      <c r="D112" s="3">
        <f t="shared" si="3"/>
        <v>3038</v>
      </c>
      <c r="M112" s="1"/>
    </row>
    <row r="113" spans="1:13">
      <c r="A113">
        <v>112</v>
      </c>
      <c r="B113" t="str" cm="1">
        <f t="array" ref="B113">INDEX($B$2:$B$15,MOD(ROW()-2,14)+1)</f>
        <v>SKU PROD E</v>
      </c>
      <c r="C113" s="4">
        <f t="shared" si="2"/>
        <v>46262</v>
      </c>
      <c r="D113" s="3">
        <f t="shared" si="3"/>
        <v>2027</v>
      </c>
      <c r="M113" s="1"/>
    </row>
    <row r="114" spans="1:13">
      <c r="A114">
        <v>113</v>
      </c>
      <c r="B114" t="str" cm="1">
        <f t="array" ref="B114">INDEX($B$2:$B$15,MOD(ROW()-2,14)+1)</f>
        <v>SKU PROD A</v>
      </c>
      <c r="C114" s="4">
        <f t="shared" si="2"/>
        <v>46268</v>
      </c>
      <c r="D114" s="3">
        <f t="shared" si="3"/>
        <v>793</v>
      </c>
      <c r="M114" s="1"/>
    </row>
    <row r="115" spans="1:13">
      <c r="A115">
        <v>114</v>
      </c>
      <c r="B115" t="str" cm="1">
        <f t="array" ref="B115">INDEX($B$2:$B$15,MOD(ROW()-2,14)+1)</f>
        <v>SKU PROD B</v>
      </c>
      <c r="C115" s="4">
        <f t="shared" si="2"/>
        <v>46268</v>
      </c>
      <c r="D115" s="3">
        <f t="shared" si="3"/>
        <v>4748</v>
      </c>
      <c r="M115" s="1"/>
    </row>
    <row r="116" spans="1:13">
      <c r="A116">
        <v>115</v>
      </c>
      <c r="B116" t="str" cm="1">
        <f t="array" ref="B116">INDEX($B$2:$B$15,MOD(ROW()-2,14)+1)</f>
        <v>SKU PROD A</v>
      </c>
      <c r="C116" s="4">
        <f t="shared" si="2"/>
        <v>46269</v>
      </c>
      <c r="D116" s="3">
        <f t="shared" si="3"/>
        <v>318</v>
      </c>
      <c r="M116" s="1"/>
    </row>
    <row r="117" spans="1:13">
      <c r="A117">
        <v>116</v>
      </c>
      <c r="B117" t="str" cm="1">
        <f t="array" ref="B117">INDEX($B$2:$B$15,MOD(ROW()-2,14)+1)</f>
        <v>SKU PROD C</v>
      </c>
      <c r="C117" s="4">
        <f t="shared" si="2"/>
        <v>46270</v>
      </c>
      <c r="D117" s="3">
        <f t="shared" si="3"/>
        <v>714</v>
      </c>
      <c r="M117" s="1"/>
    </row>
    <row r="118" spans="1:13">
      <c r="A118">
        <v>117</v>
      </c>
      <c r="B118" t="str" cm="1">
        <f t="array" ref="B118">INDEX($B$2:$B$15,MOD(ROW()-2,14)+1)</f>
        <v>SKU PROD D</v>
      </c>
      <c r="C118" s="4">
        <f t="shared" si="2"/>
        <v>46271</v>
      </c>
      <c r="D118" s="3">
        <f t="shared" si="3"/>
        <v>477</v>
      </c>
      <c r="M118" s="1"/>
    </row>
    <row r="119" spans="1:13">
      <c r="A119">
        <v>118</v>
      </c>
      <c r="B119" t="str" cm="1">
        <f t="array" ref="B119">INDEX($B$2:$B$15,MOD(ROW()-2,14)+1)</f>
        <v>SKU PROD A</v>
      </c>
      <c r="C119" s="4">
        <f t="shared" si="2"/>
        <v>46272</v>
      </c>
      <c r="D119" s="3">
        <f t="shared" si="3"/>
        <v>793</v>
      </c>
      <c r="M119" s="1"/>
    </row>
    <row r="120" spans="1:13">
      <c r="A120">
        <v>119</v>
      </c>
      <c r="B120" t="str" cm="1">
        <f t="array" ref="B120">INDEX($B$2:$B$15,MOD(ROW()-2,14)+1)</f>
        <v>SKU PROD C</v>
      </c>
      <c r="C120" s="4">
        <f t="shared" si="2"/>
        <v>46274</v>
      </c>
      <c r="D120" s="3">
        <f t="shared" si="3"/>
        <v>397</v>
      </c>
      <c r="M120" s="1"/>
    </row>
    <row r="121" spans="1:13">
      <c r="A121">
        <v>120</v>
      </c>
      <c r="B121" t="str" cm="1">
        <f t="array" ref="B121">INDEX($B$2:$B$15,MOD(ROW()-2,14)+1)</f>
        <v>SKU PROD E</v>
      </c>
      <c r="C121" s="4">
        <f t="shared" si="2"/>
        <v>46277</v>
      </c>
      <c r="D121" s="3">
        <f t="shared" si="3"/>
        <v>263</v>
      </c>
      <c r="M121" s="1"/>
    </row>
    <row r="122" spans="1:13">
      <c r="A122">
        <v>121</v>
      </c>
      <c r="B122" t="str" cm="1">
        <f t="array" ref="B122">INDEX($B$2:$B$15,MOD(ROW()-2,14)+1)</f>
        <v>SKU PROD B</v>
      </c>
      <c r="C122" s="4">
        <f t="shared" si="2"/>
        <v>46278</v>
      </c>
      <c r="D122" s="3">
        <f t="shared" si="3"/>
        <v>395</v>
      </c>
      <c r="M122" s="1"/>
    </row>
    <row r="123" spans="1:13">
      <c r="A123">
        <v>122</v>
      </c>
      <c r="B123" t="str" cm="1">
        <f t="array" ref="B123">INDEX($B$2:$B$15,MOD(ROW()-2,14)+1)</f>
        <v>SKU PROD D</v>
      </c>
      <c r="C123" s="4">
        <f t="shared" si="2"/>
        <v>46282</v>
      </c>
      <c r="D123" s="3">
        <f t="shared" si="3"/>
        <v>561</v>
      </c>
      <c r="M123" s="1"/>
    </row>
    <row r="124" spans="1:13">
      <c r="A124">
        <v>123</v>
      </c>
      <c r="B124" t="str" cm="1">
        <f t="array" ref="B124">INDEX($B$2:$B$15,MOD(ROW()-2,14)+1)</f>
        <v>SKU PROD C</v>
      </c>
      <c r="C124" s="4">
        <f t="shared" si="2"/>
        <v>46285</v>
      </c>
      <c r="D124" s="3">
        <f t="shared" si="3"/>
        <v>516</v>
      </c>
      <c r="M124" s="1"/>
    </row>
    <row r="125" spans="1:13">
      <c r="A125">
        <v>124</v>
      </c>
      <c r="B125" t="str" cm="1">
        <f t="array" ref="B125">INDEX($B$2:$B$15,MOD(ROW()-2,14)+1)</f>
        <v>SKU PROD A</v>
      </c>
      <c r="C125" s="4">
        <f t="shared" si="2"/>
        <v>46289</v>
      </c>
      <c r="D125" s="3">
        <f t="shared" si="3"/>
        <v>713</v>
      </c>
      <c r="M125" s="1"/>
    </row>
    <row r="126" spans="1:13">
      <c r="A126">
        <v>125</v>
      </c>
      <c r="B126" t="str" cm="1">
        <f t="array" ref="B126">INDEX($B$2:$B$15,MOD(ROW()-2,14)+1)</f>
        <v>SKU PROD D</v>
      </c>
      <c r="C126" s="4">
        <f t="shared" si="2"/>
        <v>46293</v>
      </c>
      <c r="D126" s="3">
        <f t="shared" si="3"/>
        <v>3130</v>
      </c>
      <c r="M126" s="1"/>
    </row>
    <row r="127" spans="1:13">
      <c r="A127">
        <v>126</v>
      </c>
      <c r="B127" t="str" cm="1">
        <f t="array" ref="B127">INDEX($B$2:$B$15,MOD(ROW()-2,14)+1)</f>
        <v>SKU PROD E</v>
      </c>
      <c r="C127" s="4">
        <f t="shared" si="2"/>
        <v>46293</v>
      </c>
      <c r="D127" s="3">
        <f t="shared" si="3"/>
        <v>2088</v>
      </c>
      <c r="M127" s="1"/>
    </row>
    <row r="128" spans="1:13">
      <c r="A128">
        <v>127</v>
      </c>
      <c r="B128" t="str" cm="1">
        <f t="array" ref="B128">INDEX($B$2:$B$15,MOD(ROW()-2,14)+1)</f>
        <v>SKU PROD A</v>
      </c>
      <c r="C128" s="4">
        <f t="shared" si="2"/>
        <v>46298</v>
      </c>
      <c r="D128" s="3">
        <f t="shared" si="3"/>
        <v>714</v>
      </c>
      <c r="M128" s="1"/>
    </row>
    <row r="129" spans="1:13">
      <c r="A129">
        <v>128</v>
      </c>
      <c r="B129" t="str" cm="1">
        <f t="array" ref="B129">INDEX($B$2:$B$15,MOD(ROW()-2,14)+1)</f>
        <v>SKU PROD B</v>
      </c>
      <c r="C129" s="4">
        <f t="shared" si="2"/>
        <v>46298</v>
      </c>
      <c r="D129" s="3">
        <f t="shared" si="3"/>
        <v>4274</v>
      </c>
      <c r="M129" s="1"/>
    </row>
    <row r="130" spans="1:13">
      <c r="A130">
        <v>129</v>
      </c>
      <c r="B130" t="str" cm="1">
        <f t="array" ref="B130">INDEX($B$2:$B$15,MOD(ROW()-2,14)+1)</f>
        <v>SKU PROD A</v>
      </c>
      <c r="C130" s="4">
        <f t="shared" si="2"/>
        <v>46299</v>
      </c>
      <c r="D130" s="3">
        <f t="shared" si="3"/>
        <v>287</v>
      </c>
      <c r="M130" s="1"/>
    </row>
    <row r="131" spans="1:13">
      <c r="A131">
        <v>130</v>
      </c>
      <c r="B131" t="str" cm="1">
        <f t="array" ref="B131">INDEX($B$2:$B$15,MOD(ROW()-2,14)+1)</f>
        <v>SKU PROD C</v>
      </c>
      <c r="C131" s="4">
        <f t="shared" si="2"/>
        <v>46300</v>
      </c>
      <c r="D131" s="3">
        <f t="shared" si="3"/>
        <v>643</v>
      </c>
      <c r="M131" s="1"/>
    </row>
    <row r="132" spans="1:13">
      <c r="A132">
        <v>131</v>
      </c>
      <c r="B132" t="str" cm="1">
        <f t="array" ref="B132">INDEX($B$2:$B$15,MOD(ROW()-2,14)+1)</f>
        <v>SKU PROD D</v>
      </c>
      <c r="C132" s="4">
        <f t="shared" si="2"/>
        <v>46301</v>
      </c>
      <c r="D132" s="3">
        <f t="shared" si="3"/>
        <v>430</v>
      </c>
      <c r="M132" s="1"/>
    </row>
    <row r="133" spans="1:13">
      <c r="A133">
        <v>132</v>
      </c>
      <c r="B133" t="str" cm="1">
        <f t="array" ref="B133">INDEX($B$2:$B$15,MOD(ROW()-2,14)+1)</f>
        <v>SKU PROD A</v>
      </c>
      <c r="C133" s="4">
        <f t="shared" si="2"/>
        <v>46302</v>
      </c>
      <c r="D133" s="3">
        <f t="shared" si="3"/>
        <v>714</v>
      </c>
      <c r="M133" s="1"/>
    </row>
    <row r="134" spans="1:13">
      <c r="A134">
        <v>133</v>
      </c>
      <c r="B134" t="str" cm="1">
        <f t="array" ref="B134">INDEX($B$2:$B$15,MOD(ROW()-2,14)+1)</f>
        <v>SKU PROD C</v>
      </c>
      <c r="C134" s="4">
        <f t="shared" si="2"/>
        <v>46304</v>
      </c>
      <c r="D134" s="3">
        <f t="shared" si="3"/>
        <v>358</v>
      </c>
      <c r="M134" s="1"/>
    </row>
    <row r="135" spans="1:13">
      <c r="A135">
        <v>134</v>
      </c>
      <c r="B135" t="str" cm="1">
        <f t="array" ref="B135">INDEX($B$2:$B$15,MOD(ROW()-2,14)+1)</f>
        <v>SKU PROD E</v>
      </c>
      <c r="C135" s="4">
        <f t="shared" si="2"/>
        <v>46307</v>
      </c>
      <c r="D135" s="3">
        <f t="shared" si="3"/>
        <v>250</v>
      </c>
      <c r="M135" s="1"/>
    </row>
    <row r="136" spans="1:13">
      <c r="A136">
        <v>135</v>
      </c>
      <c r="B136" t="str" cm="1">
        <f t="array" ref="B136">INDEX($B$2:$B$15,MOD(ROW()-2,14)+1)</f>
        <v>SKU PROD B</v>
      </c>
      <c r="C136" s="4">
        <f t="shared" si="2"/>
        <v>46308</v>
      </c>
      <c r="D136" s="3">
        <f t="shared" si="3"/>
        <v>376</v>
      </c>
      <c r="M136" s="1"/>
    </row>
    <row r="137" spans="1:13">
      <c r="A137">
        <v>136</v>
      </c>
      <c r="B137" t="str" cm="1">
        <f t="array" ref="B137">INDEX($B$2:$B$15,MOD(ROW()-2,14)+1)</f>
        <v>SKU PROD D</v>
      </c>
      <c r="C137" s="4">
        <f t="shared" si="2"/>
        <v>46312</v>
      </c>
      <c r="D137" s="3">
        <f t="shared" si="3"/>
        <v>533</v>
      </c>
      <c r="M137" s="1"/>
    </row>
    <row r="138" spans="1:13">
      <c r="A138">
        <v>137</v>
      </c>
      <c r="B138" t="str" cm="1">
        <f t="array" ref="B138">INDEX($B$2:$B$15,MOD(ROW()-2,14)+1)</f>
        <v>SKU PROD C</v>
      </c>
      <c r="C138" s="4">
        <f t="shared" si="2"/>
        <v>46315</v>
      </c>
      <c r="D138" s="3">
        <f t="shared" si="3"/>
        <v>491</v>
      </c>
      <c r="M138" s="1"/>
    </row>
    <row r="139" spans="1:13">
      <c r="A139">
        <v>138</v>
      </c>
      <c r="B139" t="str" cm="1">
        <f t="array" ref="B139">INDEX($B$2:$B$15,MOD(ROW()-2,14)+1)</f>
        <v>SKU PROD A</v>
      </c>
      <c r="C139" s="4">
        <f t="shared" si="2"/>
        <v>46319</v>
      </c>
      <c r="D139" s="3">
        <f t="shared" si="3"/>
        <v>678</v>
      </c>
      <c r="M139" s="1"/>
    </row>
    <row r="140" spans="1:13">
      <c r="A140">
        <v>139</v>
      </c>
      <c r="B140" t="str" cm="1">
        <f t="array" ref="B140">INDEX($B$2:$B$15,MOD(ROW()-2,14)+1)</f>
        <v>SKU PROD D</v>
      </c>
      <c r="C140" s="4">
        <f t="shared" si="2"/>
        <v>46323</v>
      </c>
      <c r="D140" s="3">
        <f t="shared" si="3"/>
        <v>2974</v>
      </c>
      <c r="M140" s="1"/>
    </row>
    <row r="141" spans="1:13">
      <c r="A141">
        <v>140</v>
      </c>
      <c r="B141" t="str" cm="1">
        <f t="array" ref="B141">INDEX($B$2:$B$15,MOD(ROW()-2,14)+1)</f>
        <v>SKU PROD E</v>
      </c>
      <c r="C141" s="4">
        <f t="shared" si="2"/>
        <v>46323</v>
      </c>
      <c r="D141" s="3">
        <f t="shared" si="3"/>
        <v>1984</v>
      </c>
      <c r="M141" s="1"/>
    </row>
    <row r="142" spans="1:13">
      <c r="A142">
        <v>141</v>
      </c>
      <c r="B142" t="str" cm="1">
        <f t="array" ref="B142">INDEX($B$2:$B$15,MOD(ROW()-2,14)+1)</f>
        <v>SKU PROD A</v>
      </c>
      <c r="C142" s="4">
        <f t="shared" si="2"/>
        <v>46329</v>
      </c>
      <c r="D142" s="3">
        <f t="shared" si="3"/>
        <v>800</v>
      </c>
      <c r="M142" s="1"/>
    </row>
    <row r="143" spans="1:13">
      <c r="A143">
        <v>142</v>
      </c>
      <c r="B143" t="str" cm="1">
        <f t="array" ref="B143">INDEX($B$2:$B$15,MOD(ROW()-2,14)+1)</f>
        <v>SKU PROD B</v>
      </c>
      <c r="C143" s="4">
        <f t="shared" si="2"/>
        <v>46329</v>
      </c>
      <c r="D143" s="3">
        <f t="shared" si="3"/>
        <v>4787</v>
      </c>
      <c r="M143" s="1"/>
    </row>
    <row r="144" spans="1:13">
      <c r="A144">
        <v>143</v>
      </c>
      <c r="B144" t="str" cm="1">
        <f t="array" ref="B144">INDEX($B$2:$B$15,MOD(ROW()-2,14)+1)</f>
        <v>SKU PROD A</v>
      </c>
      <c r="C144" s="4">
        <f t="shared" si="2"/>
        <v>46330</v>
      </c>
      <c r="D144" s="3">
        <f t="shared" si="3"/>
        <v>322</v>
      </c>
      <c r="M144" s="1"/>
    </row>
    <row r="145" spans="1:13">
      <c r="A145">
        <v>144</v>
      </c>
      <c r="B145" t="str" cm="1">
        <f t="array" ref="B145">INDEX($B$2:$B$15,MOD(ROW()-2,14)+1)</f>
        <v>SKU PROD C</v>
      </c>
      <c r="C145" s="4">
        <f t="shared" ref="C145:C169" si="4">EDATE(INDEX($C$2:$C$15,MOD(ROW()-2,14)+1),INT((ROW()-2)/14))</f>
        <v>46331</v>
      </c>
      <c r="D145" s="3">
        <f t="shared" ref="D145:D169" si="5">_xlfn.LET(
_xlpm.m,MONTH(C145),
_xlpm.d,DAY(C145),
_xlpm.f,
IF(_xlpm.m=2,IF(_xlpm.d&lt;15,1.05,1.075),
IF(_xlpm.m=3,IF(_xlpm.d&lt;20,0.98,1.015),
IF(_xlpm.m=4,IF(_xlpm.d&lt;17,1.025,0.95),
IF(_xlpm.m=5,IF(_xlpm.d&lt;22,0.95,1.05),
IF(_xlpm.m=6,0.95,
IF(_xlpm.m=7,IF(_xlpm.d&lt;10,1.15,0.95),
IF(_xlpm.m=8,IF(_xlpm.d&lt;25,0.85,1.03),
IF(_xlpm.m=9,IF(_xlpm.d&lt;25,0.85,1.03),
IF(_xlpm.m=10,IF(_xlpm.d&lt;11,0.9,0.95),
IF(_xlpm.m=11,IF(_xlpm.d&lt;13,1.12,1.06),
IF(_xlpm.m=12,IF(_xlpm.d&lt;10,1.06,1.12),1))))))))))),
ROUNDUP(D131*_xlpm.f,0)
)</f>
        <v>721</v>
      </c>
      <c r="M145" s="1"/>
    </row>
    <row r="146" spans="1:13">
      <c r="A146">
        <v>145</v>
      </c>
      <c r="B146" t="str" cm="1">
        <f t="array" ref="B146">INDEX($B$2:$B$15,MOD(ROW()-2,14)+1)</f>
        <v>SKU PROD D</v>
      </c>
      <c r="C146" s="4">
        <f t="shared" si="4"/>
        <v>46332</v>
      </c>
      <c r="D146" s="3">
        <f t="shared" si="5"/>
        <v>482</v>
      </c>
      <c r="M146" s="1"/>
    </row>
    <row r="147" spans="1:13">
      <c r="A147">
        <v>146</v>
      </c>
      <c r="B147" t="str" cm="1">
        <f t="array" ref="B147">INDEX($B$2:$B$15,MOD(ROW()-2,14)+1)</f>
        <v>SKU PROD A</v>
      </c>
      <c r="C147" s="4">
        <f t="shared" si="4"/>
        <v>46333</v>
      </c>
      <c r="D147" s="3">
        <f t="shared" si="5"/>
        <v>800</v>
      </c>
      <c r="M147" s="1"/>
    </row>
    <row r="148" spans="1:13">
      <c r="A148">
        <v>147</v>
      </c>
      <c r="B148" t="str" cm="1">
        <f t="array" ref="B148">INDEX($B$2:$B$15,MOD(ROW()-2,14)+1)</f>
        <v>SKU PROD C</v>
      </c>
      <c r="C148" s="4">
        <f t="shared" si="4"/>
        <v>46335</v>
      </c>
      <c r="D148" s="3">
        <f t="shared" si="5"/>
        <v>401</v>
      </c>
      <c r="M148" s="1"/>
    </row>
    <row r="149" spans="1:13">
      <c r="A149">
        <v>148</v>
      </c>
      <c r="B149" t="str" cm="1">
        <f t="array" ref="B149">INDEX($B$2:$B$15,MOD(ROW()-2,14)+1)</f>
        <v>SKU PROD E</v>
      </c>
      <c r="C149" s="4">
        <f t="shared" si="4"/>
        <v>46338</v>
      </c>
      <c r="D149" s="3">
        <f t="shared" si="5"/>
        <v>280</v>
      </c>
      <c r="M149" s="1"/>
    </row>
    <row r="150" spans="1:13">
      <c r="A150">
        <v>149</v>
      </c>
      <c r="B150" t="str" cm="1">
        <f t="array" ref="B150">INDEX($B$2:$B$15,MOD(ROW()-2,14)+1)</f>
        <v>SKU PROD B</v>
      </c>
      <c r="C150" s="4">
        <f t="shared" si="4"/>
        <v>46339</v>
      </c>
      <c r="D150" s="3">
        <f t="shared" si="5"/>
        <v>399</v>
      </c>
      <c r="M150" s="1"/>
    </row>
    <row r="151" spans="1:13">
      <c r="A151">
        <v>150</v>
      </c>
      <c r="B151" t="str" cm="1">
        <f t="array" ref="B151">INDEX($B$2:$B$15,MOD(ROW()-2,14)+1)</f>
        <v>SKU PROD D</v>
      </c>
      <c r="C151" s="4">
        <f t="shared" si="4"/>
        <v>46343</v>
      </c>
      <c r="D151" s="3">
        <f t="shared" si="5"/>
        <v>565</v>
      </c>
      <c r="M151" s="1"/>
    </row>
    <row r="152" spans="1:13">
      <c r="A152">
        <v>151</v>
      </c>
      <c r="B152" t="str" cm="1">
        <f t="array" ref="B152">INDEX($B$2:$B$15,MOD(ROW()-2,14)+1)</f>
        <v>SKU PROD C</v>
      </c>
      <c r="C152" s="4">
        <f t="shared" si="4"/>
        <v>46346</v>
      </c>
      <c r="D152" s="3">
        <f t="shared" si="5"/>
        <v>521</v>
      </c>
      <c r="M152" s="1"/>
    </row>
    <row r="153" spans="1:13">
      <c r="A153">
        <v>152</v>
      </c>
      <c r="B153" t="str" cm="1">
        <f t="array" ref="B153">INDEX($B$2:$B$15,MOD(ROW()-2,14)+1)</f>
        <v>SKU PROD A</v>
      </c>
      <c r="C153" s="4">
        <f t="shared" si="4"/>
        <v>46350</v>
      </c>
      <c r="D153" s="3">
        <f t="shared" si="5"/>
        <v>719</v>
      </c>
      <c r="M153" s="1"/>
    </row>
    <row r="154" spans="1:13">
      <c r="A154">
        <v>153</v>
      </c>
      <c r="B154" t="str" cm="1">
        <f t="array" ref="B154">INDEX($B$2:$B$15,MOD(ROW()-2,14)+1)</f>
        <v>SKU PROD D</v>
      </c>
      <c r="C154" s="4">
        <f t="shared" si="4"/>
        <v>46354</v>
      </c>
      <c r="D154" s="3">
        <f t="shared" si="5"/>
        <v>3153</v>
      </c>
      <c r="M154" s="1"/>
    </row>
    <row r="155" spans="1:13">
      <c r="A155">
        <v>154</v>
      </c>
      <c r="B155" t="str" cm="1">
        <f t="array" ref="B155">INDEX($B$2:$B$15,MOD(ROW()-2,14)+1)</f>
        <v>SKU PROD E</v>
      </c>
      <c r="C155" s="4">
        <f t="shared" si="4"/>
        <v>46354</v>
      </c>
      <c r="D155" s="3">
        <f t="shared" si="5"/>
        <v>2104</v>
      </c>
      <c r="M155" s="1"/>
    </row>
    <row r="156" spans="1:13">
      <c r="A156">
        <v>155</v>
      </c>
      <c r="B156" t="str" cm="1">
        <f t="array" ref="B156">INDEX($B$2:$B$15,MOD(ROW()-2,14)+1)</f>
        <v>SKU PROD A</v>
      </c>
      <c r="C156" s="4">
        <f t="shared" si="4"/>
        <v>46359</v>
      </c>
      <c r="D156" s="3">
        <f t="shared" si="5"/>
        <v>848</v>
      </c>
      <c r="M156" s="1"/>
    </row>
    <row r="157" spans="1:13">
      <c r="A157">
        <v>156</v>
      </c>
      <c r="B157" t="str" cm="1">
        <f t="array" ref="B157">INDEX($B$2:$B$15,MOD(ROW()-2,14)+1)</f>
        <v>SKU PROD B</v>
      </c>
      <c r="C157" s="4">
        <f t="shared" si="4"/>
        <v>46359</v>
      </c>
      <c r="D157" s="3">
        <f t="shared" si="5"/>
        <v>5075</v>
      </c>
      <c r="M157" s="1"/>
    </row>
    <row r="158" spans="1:13">
      <c r="A158">
        <v>157</v>
      </c>
      <c r="B158" t="str" cm="1">
        <f t="array" ref="B158">INDEX($B$2:$B$15,MOD(ROW()-2,14)+1)</f>
        <v>SKU PROD A</v>
      </c>
      <c r="C158" s="4">
        <f t="shared" si="4"/>
        <v>46360</v>
      </c>
      <c r="D158" s="3">
        <f t="shared" si="5"/>
        <v>342</v>
      </c>
      <c r="M158" s="1"/>
    </row>
    <row r="159" spans="1:13">
      <c r="A159">
        <v>158</v>
      </c>
      <c r="B159" t="str" cm="1">
        <f t="array" ref="B159">INDEX($B$2:$B$15,MOD(ROW()-2,14)+1)</f>
        <v>SKU PROD C</v>
      </c>
      <c r="C159" s="4">
        <f t="shared" si="4"/>
        <v>46361</v>
      </c>
      <c r="D159" s="3">
        <f t="shared" si="5"/>
        <v>765</v>
      </c>
      <c r="M159" s="1"/>
    </row>
    <row r="160" spans="1:13">
      <c r="A160">
        <v>159</v>
      </c>
      <c r="B160" t="str" cm="1">
        <f t="array" ref="B160">INDEX($B$2:$B$15,MOD(ROW()-2,14)+1)</f>
        <v>SKU PROD D</v>
      </c>
      <c r="C160" s="4">
        <f t="shared" si="4"/>
        <v>46362</v>
      </c>
      <c r="D160" s="3">
        <f t="shared" si="5"/>
        <v>511</v>
      </c>
      <c r="M160" s="1"/>
    </row>
    <row r="161" spans="1:13">
      <c r="A161">
        <v>160</v>
      </c>
      <c r="B161" t="str" cm="1">
        <f t="array" ref="B161">INDEX($B$2:$B$15,MOD(ROW()-2,14)+1)</f>
        <v>SKU PROD A</v>
      </c>
      <c r="C161" s="4">
        <f t="shared" si="4"/>
        <v>46363</v>
      </c>
      <c r="D161" s="3">
        <f t="shared" si="5"/>
        <v>848</v>
      </c>
      <c r="M161" s="1"/>
    </row>
    <row r="162" spans="1:13">
      <c r="A162">
        <v>161</v>
      </c>
      <c r="B162" t="str" cm="1">
        <f t="array" ref="B162">INDEX($B$2:$B$15,MOD(ROW()-2,14)+1)</f>
        <v>SKU PROD C</v>
      </c>
      <c r="C162" s="4">
        <f t="shared" si="4"/>
        <v>46365</v>
      </c>
      <c r="D162" s="3">
        <f t="shared" si="5"/>
        <v>426</v>
      </c>
      <c r="M162" s="1"/>
    </row>
    <row r="163" spans="1:13">
      <c r="A163">
        <v>162</v>
      </c>
      <c r="B163" t="str" cm="1">
        <f t="array" ref="B163">INDEX($B$2:$B$15,MOD(ROW()-2,14)+1)</f>
        <v>SKU PROD E</v>
      </c>
      <c r="C163" s="4">
        <f t="shared" si="4"/>
        <v>46368</v>
      </c>
      <c r="D163" s="3">
        <f t="shared" si="5"/>
        <v>314</v>
      </c>
      <c r="M163" s="1"/>
    </row>
    <row r="164" spans="1:13">
      <c r="A164">
        <v>163</v>
      </c>
      <c r="B164" t="str" cm="1">
        <f t="array" ref="B164">INDEX($B$2:$B$15,MOD(ROW()-2,14)+1)</f>
        <v>SKU PROD B</v>
      </c>
      <c r="C164" s="4">
        <f t="shared" si="4"/>
        <v>46369</v>
      </c>
      <c r="D164" s="3">
        <f t="shared" si="5"/>
        <v>447</v>
      </c>
      <c r="M164" s="1"/>
    </row>
    <row r="165" spans="1:13">
      <c r="A165">
        <v>164</v>
      </c>
      <c r="B165" t="str" cm="1">
        <f t="array" ref="B165">INDEX($B$2:$B$15,MOD(ROW()-2,14)+1)</f>
        <v>SKU PROD D</v>
      </c>
      <c r="C165" s="4">
        <f t="shared" si="4"/>
        <v>46373</v>
      </c>
      <c r="D165" s="3">
        <f t="shared" si="5"/>
        <v>633</v>
      </c>
      <c r="M165" s="1"/>
    </row>
    <row r="166" spans="1:13">
      <c r="A166">
        <v>165</v>
      </c>
      <c r="B166" t="str" cm="1">
        <f t="array" ref="B166">INDEX($B$2:$B$15,MOD(ROW()-2,14)+1)</f>
        <v>SKU PROD C</v>
      </c>
      <c r="C166" s="4">
        <f t="shared" si="4"/>
        <v>46376</v>
      </c>
      <c r="D166" s="3">
        <f t="shared" si="5"/>
        <v>584</v>
      </c>
      <c r="M166" s="1"/>
    </row>
    <row r="167" spans="1:13">
      <c r="A167">
        <v>166</v>
      </c>
      <c r="B167" t="str" cm="1">
        <f t="array" ref="B167">INDEX($B$2:$B$15,MOD(ROW()-2,14)+1)</f>
        <v>SKU PROD A</v>
      </c>
      <c r="C167" s="4">
        <f t="shared" si="4"/>
        <v>46380</v>
      </c>
      <c r="D167" s="3">
        <f t="shared" si="5"/>
        <v>806</v>
      </c>
      <c r="M167" s="1"/>
    </row>
    <row r="168" spans="1:13">
      <c r="A168">
        <v>167</v>
      </c>
      <c r="B168" t="str" cm="1">
        <f t="array" ref="B168">INDEX($B$2:$B$15,MOD(ROW()-2,14)+1)</f>
        <v>SKU PROD D</v>
      </c>
      <c r="C168" s="4">
        <f t="shared" si="4"/>
        <v>46384</v>
      </c>
      <c r="D168" s="3">
        <f t="shared" si="5"/>
        <v>3532</v>
      </c>
      <c r="M168" s="1"/>
    </row>
    <row r="169" spans="1:13">
      <c r="A169">
        <v>168</v>
      </c>
      <c r="B169" t="str" cm="1">
        <f t="array" ref="B169">INDEX($B$2:$B$15,MOD(ROW()-2,14)+1)</f>
        <v>SKU PROD E</v>
      </c>
      <c r="C169" s="4">
        <f t="shared" si="4"/>
        <v>46384</v>
      </c>
      <c r="D169" s="3">
        <f t="shared" si="5"/>
        <v>2357</v>
      </c>
      <c r="M169" s="1"/>
    </row>
  </sheetData>
  <sortState xmlns:xlrd2="http://schemas.microsoft.com/office/spreadsheetml/2017/richdata2" ref="A2:D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F80-25F0-47F4-8E0E-C80153E4E049}">
  <dimension ref="A1:G70"/>
  <sheetViews>
    <sheetView zoomScale="115" zoomScaleNormal="115" workbookViewId="0">
      <selection activeCell="D16" sqref="D16"/>
    </sheetView>
  </sheetViews>
  <sheetFormatPr defaultRowHeight="14.25"/>
  <cols>
    <col min="1" max="1" width="6.25" customWidth="1"/>
    <col min="2" max="2" width="15.5" customWidth="1"/>
    <col min="3" max="3" width="16.5" customWidth="1"/>
    <col min="4" max="4" width="13.5" customWidth="1"/>
    <col min="5" max="5" width="14.75" customWidth="1"/>
    <col min="6" max="6" width="10.25" bestFit="1" customWidth="1"/>
    <col min="7" max="7" width="16" bestFit="1" customWidth="1"/>
  </cols>
  <sheetData>
    <row r="1" spans="1:7">
      <c r="A1" t="s">
        <v>20</v>
      </c>
      <c r="B1" t="s">
        <v>5</v>
      </c>
      <c r="C1" t="s">
        <v>14</v>
      </c>
      <c r="D1" t="s">
        <v>13</v>
      </c>
      <c r="E1" t="s">
        <v>18</v>
      </c>
      <c r="F1" t="s">
        <v>29</v>
      </c>
      <c r="G1" t="s">
        <v>31</v>
      </c>
    </row>
    <row r="2" spans="1:7">
      <c r="A2">
        <v>1</v>
      </c>
      <c r="B2" t="s">
        <v>7</v>
      </c>
      <c r="C2" s="1">
        <v>46023</v>
      </c>
      <c r="D2">
        <v>2200</v>
      </c>
      <c r="E2" s="1" t="s">
        <v>19</v>
      </c>
      <c r="F2" s="1">
        <f>IF(E2="Initial Stock",C2,C2+3)</f>
        <v>46023</v>
      </c>
      <c r="G2" cm="1">
        <f t="array" ref="G2">_xlfn.LET(
_xlpm.skus,Capacity!$D$3:$D$7,
_xlpm.caps,Capacity!$B$3:$B$7,
SUM(
(
SUMIFS($D$2:$D$70,$B$2:$B$70,_xlpm.skus,$F$2:$F$70,"&lt;="&amp;F2)
-
SUMIFS('Demand Projection'!$D$2:$D$169,'Demand Projection'!$B$2:$B$169,_xlpm.skus,'Demand Projection'!$C$2:$C$169,"&lt;="&amp;F2)
)
/_xlpm.caps
)
)</f>
        <v>1.2087820512820513</v>
      </c>
    </row>
    <row r="3" spans="1:7">
      <c r="A3">
        <v>2</v>
      </c>
      <c r="B3" t="s">
        <v>8</v>
      </c>
      <c r="C3" s="1">
        <v>46023</v>
      </c>
      <c r="D3">
        <v>8000</v>
      </c>
      <c r="E3" t="s">
        <v>19</v>
      </c>
      <c r="F3" s="1">
        <f t="shared" ref="F3:F66" si="0">IF(E3="Initial Stock",C3,C3+3)</f>
        <v>46023</v>
      </c>
      <c r="G3" cm="1">
        <f t="array" ref="G3">_xlfn.LET(
_xlpm.skus,Capacity!$D$3:$D$7,
_xlpm.caps,Capacity!$B$3:$B$7,
SUM(
(
SUMIFS($D$2:$D$70,$B$2:$B$70,_xlpm.skus,$F$2:$F$70,"&lt;="&amp;F3)
-
SUMIFS('Demand Projection'!$D$2:$D$169,'Demand Projection'!$B$2:$B$169,_xlpm.skus,'Demand Projection'!$C$2:$C$169,"&lt;="&amp;F3)
)
/_xlpm.caps
)
)</f>
        <v>1.2087820512820513</v>
      </c>
    </row>
    <row r="4" spans="1:7">
      <c r="A4">
        <v>3</v>
      </c>
      <c r="B4" t="s">
        <v>9</v>
      </c>
      <c r="C4" s="1">
        <v>46023</v>
      </c>
      <c r="D4">
        <v>1700</v>
      </c>
      <c r="E4" t="s">
        <v>19</v>
      </c>
      <c r="F4" s="1">
        <f t="shared" si="0"/>
        <v>46023</v>
      </c>
      <c r="G4" cm="1">
        <f t="array" ref="G4">_xlfn.LET(
_xlpm.skus,Capacity!$D$3:$D$7,
_xlpm.caps,Capacity!$B$3:$B$7,
SUM(
(
SUMIFS($D$2:$D$70,$B$2:$B$70,_xlpm.skus,$F$2:$F$70,"&lt;="&amp;F4)
-
SUMIFS('Demand Projection'!$D$2:$D$169,'Demand Projection'!$B$2:$B$169,_xlpm.skus,'Demand Projection'!$C$2:$C$169,"&lt;="&amp;F4)
)
/_xlpm.caps
)
)</f>
        <v>1.2087820512820513</v>
      </c>
    </row>
    <row r="5" spans="1:7">
      <c r="A5">
        <v>4</v>
      </c>
      <c r="B5" t="s">
        <v>10</v>
      </c>
      <c r="C5" s="1">
        <v>46023</v>
      </c>
      <c r="D5">
        <v>3500</v>
      </c>
      <c r="E5" t="s">
        <v>19</v>
      </c>
      <c r="F5" s="1">
        <f t="shared" si="0"/>
        <v>46023</v>
      </c>
      <c r="G5" cm="1">
        <f t="array" ref="G5">_xlfn.LET(
_xlpm.skus,Capacity!$D$3:$D$7,
_xlpm.caps,Capacity!$B$3:$B$7,
SUM(
(
SUMIFS($D$2:$D$70,$B$2:$B$70,_xlpm.skus,$F$2:$F$70,"&lt;="&amp;F5)
-
SUMIFS('Demand Projection'!$D$2:$D$169,'Demand Projection'!$B$2:$B$169,_xlpm.skus,'Demand Projection'!$C$2:$C$169,"&lt;="&amp;F5)
)
/_xlpm.caps
)
)</f>
        <v>1.2087820512820513</v>
      </c>
    </row>
    <row r="6" spans="1:7">
      <c r="A6">
        <v>5</v>
      </c>
      <c r="B6" t="s">
        <v>11</v>
      </c>
      <c r="C6" s="1">
        <v>46023</v>
      </c>
      <c r="D6">
        <v>2300</v>
      </c>
      <c r="E6" t="s">
        <v>19</v>
      </c>
      <c r="F6" s="1">
        <f t="shared" si="0"/>
        <v>46023</v>
      </c>
      <c r="G6" cm="1">
        <f t="array" ref="G6">_xlfn.LET(
_xlpm.skus,Capacity!$D$3:$D$7,
_xlpm.caps,Capacity!$B$3:$B$7,
SUM(
(
SUMIFS($D$2:$D$70,$B$2:$B$70,_xlpm.skus,$F$2:$F$70,"&lt;="&amp;F6)
-
SUMIFS('Demand Projection'!$D$2:$D$169,'Demand Projection'!$B$2:$B$169,_xlpm.skus,'Demand Projection'!$C$2:$C$169,"&lt;="&amp;F6)
)
/_xlpm.caps
)
)</f>
        <v>1.2087820512820513</v>
      </c>
    </row>
    <row r="7" spans="1:7">
      <c r="A7">
        <v>6</v>
      </c>
      <c r="B7" t="str" cm="1">
        <f t="array" ref="B7">IFERROR(INDEX('Warehouse Helper'!$A$2:$A$169,_xlfn.AGGREGATE(15,6,(ROW('Warehouse Helper'!$J$2:$J$169)-ROW('Warehouse Helper'!$J$2)+1)/('Warehouse Helper'!$J$2:$J$169&gt;0),ROWS($B$7:B7))),"")</f>
        <v>SKU PROD A</v>
      </c>
      <c r="C7" s="1" cm="1">
        <f t="array" ref="C7">IFERROR(INDEX('Warehouse Helper'!$B$2:$B$169,_xlfn.AGGREGATE(15,6,(ROW('Warehouse Helper'!$J$2:$J$169)-ROW('Warehouse Helper'!$J$2)+1)/('Warehouse Helper'!$J$2:$J$169&gt;0),ROWS($C$7:C7))),"")</f>
        <v>46029</v>
      </c>
      <c r="D7" cm="1">
        <f t="array" ref="D7">IFERROR(INDEX('Warehouse Helper'!$J$2:$J$169,_xlfn.AGGREGATE(15,6,(ROW('Warehouse Helper'!$J$2:$J$169)-ROW('Warehouse Helper'!$J$2)+1)/('Warehouse Helper'!$J$2:$J$169&gt;0),ROWS($D$7:D7))),"")</f>
        <v>2832</v>
      </c>
      <c r="E7" t="s">
        <v>30</v>
      </c>
      <c r="F7" s="1">
        <f t="shared" si="0"/>
        <v>46032</v>
      </c>
      <c r="G7" cm="1">
        <f t="array" ref="G7">_xlfn.LET(
_xlpm.skus,Capacity!$D$3:$D$7,
_xlpm.caps,Capacity!$B$3:$B$7,
SUM(
(
SUMIFS($D$2:$D$70,$B$2:$B$70,_xlpm.skus,$F$2:$F$70,"&lt;="&amp;F7)
-
SUMIFS('Demand Projection'!$D$2:$D$169,'Demand Projection'!$B$2:$B$169,_xlpm.skus,'Demand Projection'!$C$2:$C$169,"&lt;="&amp;F7)
)
/_xlpm.caps
)
)</f>
        <v>0.84364871794871799</v>
      </c>
    </row>
    <row r="8" spans="1:7">
      <c r="A8">
        <v>7</v>
      </c>
      <c r="B8" t="str" cm="1">
        <f t="array" ref="B8">IFERROR(INDEX('Warehouse Helper'!$A$2:$A$169,_xlfn.AGGREGATE(15,6,(ROW('Warehouse Helper'!$J$2:$J$169)-ROW('Warehouse Helper'!$J$2)+1)/('Warehouse Helper'!$J$2:$J$169&gt;0),ROWS($B$7:B8))),"")</f>
        <v>SKU PROD C</v>
      </c>
      <c r="C8" s="1" cm="1">
        <f t="array" ref="C8">IFERROR(INDEX('Warehouse Helper'!$B$2:$B$169,_xlfn.AGGREGATE(15,6,(ROW('Warehouse Helper'!$J$2:$J$169)-ROW('Warehouse Helper'!$J$2)+1)/('Warehouse Helper'!$J$2:$J$169&gt;0),ROWS($C$7:C8))),"")</f>
        <v>46031</v>
      </c>
      <c r="D8" cm="1">
        <f t="array" ref="D8">IFERROR(INDEX('Warehouse Helper'!$J$2:$J$169,_xlfn.AGGREGATE(15,6,(ROW('Warehouse Helper'!$J$2:$J$169)-ROW('Warehouse Helper'!$J$2)+1)/('Warehouse Helper'!$J$2:$J$169&gt;0),ROWS($D$7:D8))),"")</f>
        <v>1237</v>
      </c>
      <c r="E8" t="s">
        <v>30</v>
      </c>
      <c r="F8" s="1">
        <f t="shared" si="0"/>
        <v>46034</v>
      </c>
      <c r="G8" cm="1">
        <f t="array" ref="G8">_xlfn.LET(
_xlpm.skus,Capacity!$D$3:$D$7,
_xlpm.caps,Capacity!$B$3:$B$7,
SUM(
(
SUMIFS($D$2:$D$70,$B$2:$B$70,_xlpm.skus,$F$2:$F$70,"&lt;="&amp;F8)
-
SUMIFS('Demand Projection'!$D$2:$D$169,'Demand Projection'!$B$2:$B$169,_xlpm.skus,'Demand Projection'!$C$2:$C$169,"&lt;="&amp;F8)
)
/_xlpm.caps
)
)</f>
        <v>0.90560256410256412</v>
      </c>
    </row>
    <row r="9" spans="1:7">
      <c r="A9">
        <v>8</v>
      </c>
      <c r="B9" t="str" cm="1">
        <f t="array" ref="B9">IFERROR(INDEX('Warehouse Helper'!$A$2:$A$169,_xlfn.AGGREGATE(15,6,(ROW('Warehouse Helper'!$J$2:$J$169)-ROW('Warehouse Helper'!$J$2)+1)/('Warehouse Helper'!$J$2:$J$169&gt;0),ROWS($B$7:B9))),"")</f>
        <v>SKU PROD D</v>
      </c>
      <c r="C9" s="1" cm="1">
        <f t="array" ref="C9">IFERROR(INDEX('Warehouse Helper'!$B$2:$B$169,_xlfn.AGGREGATE(15,6,(ROW('Warehouse Helper'!$J$2:$J$169)-ROW('Warehouse Helper'!$J$2)+1)/('Warehouse Helper'!$J$2:$J$169&gt;0),ROWS($C$7:C9))),"")</f>
        <v>46050</v>
      </c>
      <c r="D9" cm="1">
        <f t="array" ref="D9">IFERROR(INDEX('Warehouse Helper'!$J$2:$J$169,_xlfn.AGGREGATE(15,6,(ROW('Warehouse Helper'!$J$2:$J$169)-ROW('Warehouse Helper'!$J$2)+1)/('Warehouse Helper'!$J$2:$J$169&gt;0),ROWS($D$7:D9))),"")</f>
        <v>4532</v>
      </c>
      <c r="E9" t="s">
        <v>30</v>
      </c>
      <c r="F9" s="1">
        <f t="shared" si="0"/>
        <v>46053</v>
      </c>
      <c r="G9" cm="1">
        <f t="array" ref="G9">_xlfn.LET(
_xlpm.skus,Capacity!$D$3:$D$7,
_xlpm.caps,Capacity!$B$3:$B$7,
SUM(
(
SUMIFS($D$2:$D$70,$B$2:$B$70,_xlpm.skus,$F$2:$F$70,"&lt;="&amp;F9)
-
SUMIFS('Demand Projection'!$D$2:$D$169,'Demand Projection'!$B$2:$B$169,_xlpm.skus,'Demand Projection'!$C$2:$C$169,"&lt;="&amp;F9)
)
/_xlpm.caps
)
)</f>
        <v>0.83070512820512821</v>
      </c>
    </row>
    <row r="10" spans="1:7">
      <c r="A10">
        <v>9</v>
      </c>
      <c r="B10" t="str" cm="1">
        <f t="array" ref="B10">IFERROR(INDEX('Warehouse Helper'!$A$2:$A$169,_xlfn.AGGREGATE(15,6,(ROW('Warehouse Helper'!$J$2:$J$169)-ROW('Warehouse Helper'!$J$2)+1)/('Warehouse Helper'!$J$2:$J$169&gt;0),ROWS($B$7:B10))),"")</f>
        <v>SKU PROD E</v>
      </c>
      <c r="C10" s="1" cm="1">
        <f t="array" ref="C10">IFERROR(INDEX('Warehouse Helper'!$B$2:$B$169,_xlfn.AGGREGATE(15,6,(ROW('Warehouse Helper'!$J$2:$J$169)-ROW('Warehouse Helper'!$J$2)+1)/('Warehouse Helper'!$J$2:$J$169&gt;0),ROWS($C$7:C10))),"")</f>
        <v>46050</v>
      </c>
      <c r="D10" cm="1">
        <f t="array" ref="D10">IFERROR(INDEX('Warehouse Helper'!$J$2:$J$169,_xlfn.AGGREGATE(15,6,(ROW('Warehouse Helper'!$J$2:$J$169)-ROW('Warehouse Helper'!$J$2)+1)/('Warehouse Helper'!$J$2:$J$169&gt;0),ROWS($D$7:D10))),"")</f>
        <v>2457</v>
      </c>
      <c r="E10" t="s">
        <v>30</v>
      </c>
      <c r="F10" s="1">
        <f t="shared" si="0"/>
        <v>46053</v>
      </c>
      <c r="G10" cm="1">
        <f t="array" ref="G10">_xlfn.LET(
_xlpm.skus,Capacity!$D$3:$D$7,
_xlpm.caps,Capacity!$B$3:$B$7,
SUM(
(
SUMIFS($D$2:$D$70,$B$2:$B$70,_xlpm.skus,$F$2:$F$70,"&lt;="&amp;F10)
-
SUMIFS('Demand Projection'!$D$2:$D$169,'Demand Projection'!$B$2:$B$169,_xlpm.skus,'Demand Projection'!$C$2:$C$169,"&lt;="&amp;F10)
)
/_xlpm.caps
)
)</f>
        <v>0.83070512820512821</v>
      </c>
    </row>
    <row r="11" spans="1:7">
      <c r="A11">
        <v>10</v>
      </c>
      <c r="B11" t="str" cm="1">
        <f t="array" ref="B11">IFERROR(INDEX('Warehouse Helper'!$A$2:$A$169,_xlfn.AGGREGATE(15,6,(ROW('Warehouse Helper'!$J$2:$J$169)-ROW('Warehouse Helper'!$J$2)+1)/('Warehouse Helper'!$J$2:$J$169&gt;0),ROWS($B$7:B11))),"")</f>
        <v>SKU PROD A</v>
      </c>
      <c r="C11" s="1" cm="1">
        <f t="array" ref="C11">IFERROR(INDEX('Warehouse Helper'!$B$2:$B$169,_xlfn.AGGREGATE(15,6,(ROW('Warehouse Helper'!$J$2:$J$169)-ROW('Warehouse Helper'!$J$2)+1)/('Warehouse Helper'!$J$2:$J$169&gt;0),ROWS($C$7:C11))),"")</f>
        <v>46056</v>
      </c>
      <c r="D11" cm="1">
        <f t="array" ref="D11">IFERROR(INDEX('Warehouse Helper'!$J$2:$J$169,_xlfn.AGGREGATE(15,6,(ROW('Warehouse Helper'!$J$2:$J$169)-ROW('Warehouse Helper'!$J$2)+1)/('Warehouse Helper'!$J$2:$J$169&gt;0),ROWS($D$7:D11))),"")</f>
        <v>2050</v>
      </c>
      <c r="E11" t="s">
        <v>30</v>
      </c>
      <c r="F11" s="1">
        <f t="shared" si="0"/>
        <v>46059</v>
      </c>
      <c r="G11" cm="1">
        <f t="array" ref="G11">_xlfn.LET(
_xlpm.skus,Capacity!$D$3:$D$7,
_xlpm.caps,Capacity!$B$3:$B$7,
SUM(
(
SUMIFS($D$2:$D$70,$B$2:$B$70,_xlpm.skus,$F$2:$F$70,"&lt;="&amp;F11)
-
SUMIFS('Demand Projection'!$D$2:$D$169,'Demand Projection'!$B$2:$B$169,_xlpm.skus,'Demand Projection'!$C$2:$C$169,"&lt;="&amp;F11)
)
/_xlpm.caps
)
)</f>
        <v>0.9537551282051282</v>
      </c>
    </row>
    <row r="12" spans="1:7">
      <c r="A12">
        <v>11</v>
      </c>
      <c r="B12" t="str" cm="1">
        <f t="array" ref="B12">IFERROR(INDEX('Warehouse Helper'!$A$2:$A$169,_xlfn.AGGREGATE(15,6,(ROW('Warehouse Helper'!$J$2:$J$169)-ROW('Warehouse Helper'!$J$2)+1)/('Warehouse Helper'!$J$2:$J$169&gt;0),ROWS($B$7:B12))),"")</f>
        <v>SKU PROD B</v>
      </c>
      <c r="C12" s="1" cm="1">
        <f t="array" ref="C12">IFERROR(INDEX('Warehouse Helper'!$B$2:$B$169,_xlfn.AGGREGATE(15,6,(ROW('Warehouse Helper'!$J$2:$J$169)-ROW('Warehouse Helper'!$J$2)+1)/('Warehouse Helper'!$J$2:$J$169&gt;0),ROWS($C$7:C12))),"")</f>
        <v>46056</v>
      </c>
      <c r="D12" cm="1">
        <f t="array" ref="D12">IFERROR(INDEX('Warehouse Helper'!$J$2:$J$169,_xlfn.AGGREGATE(15,6,(ROW('Warehouse Helper'!$J$2:$J$169)-ROW('Warehouse Helper'!$J$2)+1)/('Warehouse Helper'!$J$2:$J$169&gt;0),ROWS($D$7:D12))),"")</f>
        <v>11470</v>
      </c>
      <c r="E12" t="s">
        <v>30</v>
      </c>
      <c r="F12" s="1">
        <f t="shared" si="0"/>
        <v>46059</v>
      </c>
      <c r="G12" cm="1">
        <f t="array" ref="G12">_xlfn.LET(
_xlpm.skus,Capacity!$D$3:$D$7,
_xlpm.caps,Capacity!$B$3:$B$7,
SUM(
(
SUMIFS($D$2:$D$70,$B$2:$B$70,_xlpm.skus,$F$2:$F$70,"&lt;="&amp;F12)
-
SUMIFS('Demand Projection'!$D$2:$D$169,'Demand Projection'!$B$2:$B$169,_xlpm.skus,'Demand Projection'!$C$2:$C$169,"&lt;="&amp;F12)
)
/_xlpm.caps
)
)</f>
        <v>0.9537551282051282</v>
      </c>
    </row>
    <row r="13" spans="1:7">
      <c r="A13">
        <v>12</v>
      </c>
      <c r="B13" t="str" cm="1">
        <f t="array" ref="B13">IFERROR(INDEX('Warehouse Helper'!$A$2:$A$169,_xlfn.AGGREGATE(15,6,(ROW('Warehouse Helper'!$J$2:$J$169)-ROW('Warehouse Helper'!$J$2)+1)/('Warehouse Helper'!$J$2:$J$169&gt;0),ROWS($B$7:B13))),"")</f>
        <v>SKU PROD A</v>
      </c>
      <c r="C13" s="1" cm="1">
        <f t="array" ref="C13">IFERROR(INDEX('Warehouse Helper'!$B$2:$B$169,_xlfn.AGGREGATE(15,6,(ROW('Warehouse Helper'!$J$2:$J$169)-ROW('Warehouse Helper'!$J$2)+1)/('Warehouse Helper'!$J$2:$J$169&gt;0),ROWS($C$7:C13))),"")</f>
        <v>46057</v>
      </c>
      <c r="D13" cm="1">
        <f t="array" ref="D13">IFERROR(INDEX('Warehouse Helper'!$J$2:$J$169,_xlfn.AGGREGATE(15,6,(ROW('Warehouse Helper'!$J$2:$J$169)-ROW('Warehouse Helper'!$J$2)+1)/('Warehouse Helper'!$J$2:$J$169&gt;0),ROWS($D$7:D13))),"")</f>
        <v>2470</v>
      </c>
      <c r="E13" t="s">
        <v>30</v>
      </c>
      <c r="F13" s="1">
        <f t="shared" si="0"/>
        <v>46060</v>
      </c>
      <c r="G13" cm="1">
        <f t="array" ref="G13">_xlfn.LET(
_xlpm.skus,Capacity!$D$3:$D$7,
_xlpm.caps,Capacity!$B$3:$B$7,
SUM(
(
SUMIFS($D$2:$D$70,$B$2:$B$70,_xlpm.skus,$F$2:$F$70,"&lt;="&amp;F13)
-
SUMIFS('Demand Projection'!$D$2:$D$169,'Demand Projection'!$B$2:$B$169,_xlpm.skus,'Demand Projection'!$C$2:$C$169,"&lt;="&amp;F13)
)
/_xlpm.caps
)
)</f>
        <v>1.0957551282051281</v>
      </c>
    </row>
    <row r="14" spans="1:7">
      <c r="A14">
        <v>13</v>
      </c>
      <c r="B14" t="str" cm="1">
        <f t="array" ref="B14">IFERROR(INDEX('Warehouse Helper'!$A$2:$A$169,_xlfn.AGGREGATE(15,6,(ROW('Warehouse Helper'!$J$2:$J$169)-ROW('Warehouse Helper'!$J$2)+1)/('Warehouse Helper'!$J$2:$J$169&gt;0),ROWS($B$7:B14))),"")</f>
        <v>SKU PROD C</v>
      </c>
      <c r="C14" s="1" cm="1">
        <f t="array" ref="C14">IFERROR(INDEX('Warehouse Helper'!$B$2:$B$169,_xlfn.AGGREGATE(15,6,(ROW('Warehouse Helper'!$J$2:$J$169)-ROW('Warehouse Helper'!$J$2)+1)/('Warehouse Helper'!$J$2:$J$169&gt;0),ROWS($C$7:C14))),"")</f>
        <v>46058</v>
      </c>
      <c r="D14" cm="1">
        <f t="array" ref="D14">IFERROR(INDEX('Warehouse Helper'!$J$2:$J$169,_xlfn.AGGREGATE(15,6,(ROW('Warehouse Helper'!$J$2:$J$169)-ROW('Warehouse Helper'!$J$2)+1)/('Warehouse Helper'!$J$2:$J$169&gt;0),ROWS($D$7:D14))),"")</f>
        <v>1745</v>
      </c>
      <c r="E14" t="s">
        <v>30</v>
      </c>
      <c r="F14" s="1">
        <f t="shared" si="0"/>
        <v>46061</v>
      </c>
      <c r="G14" cm="1">
        <f t="array" ref="G14">_xlfn.LET(
_xlpm.skus,Capacity!$D$3:$D$7,
_xlpm.caps,Capacity!$B$3:$B$7,
SUM(
(
SUMIFS($D$2:$D$70,$B$2:$B$70,_xlpm.skus,$F$2:$F$70,"&lt;="&amp;F14)
-
SUMIFS('Demand Projection'!$D$2:$D$169,'Demand Projection'!$B$2:$B$169,_xlpm.skus,'Demand Projection'!$C$2:$C$169,"&lt;="&amp;F14)
)
/_xlpm.caps
)
)</f>
        <v>1.2120884615384615</v>
      </c>
    </row>
    <row r="15" spans="1:7">
      <c r="A15">
        <v>14</v>
      </c>
      <c r="B15" t="str" cm="1">
        <f t="array" ref="B15">IFERROR(INDEX('Warehouse Helper'!$A$2:$A$169,_xlfn.AGGREGATE(15,6,(ROW('Warehouse Helper'!$J$2:$J$169)-ROW('Warehouse Helper'!$J$2)+1)/('Warehouse Helper'!$J$2:$J$169&gt;0),ROWS($B$7:B15))),"")</f>
        <v>SKU PROD C</v>
      </c>
      <c r="C15" s="1" cm="1">
        <f t="array" ref="C15">IFERROR(INDEX('Warehouse Helper'!$B$2:$B$169,_xlfn.AGGREGATE(15,6,(ROW('Warehouse Helper'!$J$2:$J$169)-ROW('Warehouse Helper'!$J$2)+1)/('Warehouse Helper'!$J$2:$J$169&gt;0),ROWS($C$7:C15))),"")</f>
        <v>46073</v>
      </c>
      <c r="D15" cm="1">
        <f t="array" ref="D15">IFERROR(INDEX('Warehouse Helper'!$J$2:$J$169,_xlfn.AGGREGATE(15,6,(ROW('Warehouse Helper'!$J$2:$J$169)-ROW('Warehouse Helper'!$J$2)+1)/('Warehouse Helper'!$J$2:$J$169&gt;0),ROWS($D$7:D15))),"")</f>
        <v>1385</v>
      </c>
      <c r="E15" t="s">
        <v>30</v>
      </c>
      <c r="F15" s="1">
        <f t="shared" si="0"/>
        <v>46076</v>
      </c>
      <c r="G15" cm="1">
        <f t="array" ref="G15">_xlfn.LET(
_xlpm.skus,Capacity!$D$3:$D$7,
_xlpm.caps,Capacity!$B$3:$B$7,
SUM(
(
SUMIFS($D$2:$D$70,$B$2:$B$70,_xlpm.skus,$F$2:$F$70,"&lt;="&amp;F15)
-
SUMIFS('Demand Projection'!$D$2:$D$169,'Demand Projection'!$B$2:$B$169,_xlpm.skus,'Demand Projection'!$C$2:$C$169,"&lt;="&amp;F15)
)
/_xlpm.caps
)
)</f>
        <v>1.0443500000000001</v>
      </c>
    </row>
    <row r="16" spans="1:7">
      <c r="A16">
        <v>15</v>
      </c>
      <c r="B16" t="str" cm="1">
        <f t="array" ref="B16">IFERROR(INDEX('Warehouse Helper'!$A$2:$A$169,_xlfn.AGGREGATE(15,6,(ROW('Warehouse Helper'!$J$2:$J$169)-ROW('Warehouse Helper'!$J$2)+1)/('Warehouse Helper'!$J$2:$J$169&gt;0),ROWS($B$7:B16))),"")</f>
        <v>SKU PROD D</v>
      </c>
      <c r="C16" s="1" cm="1">
        <f t="array" ref="C16">IFERROR(INDEX('Warehouse Helper'!$B$2:$B$169,_xlfn.AGGREGATE(15,6,(ROW('Warehouse Helper'!$J$2:$J$169)-ROW('Warehouse Helper'!$J$2)+1)/('Warehouse Helper'!$J$2:$J$169&gt;0),ROWS($C$7:C16))),"")</f>
        <v>46081</v>
      </c>
      <c r="D16" cm="1">
        <f t="array" ref="D16">IFERROR(INDEX('Warehouse Helper'!$J$2:$J$169,_xlfn.AGGREGATE(15,6,(ROW('Warehouse Helper'!$J$2:$J$169)-ROW('Warehouse Helper'!$J$2)+1)/('Warehouse Helper'!$J$2:$J$169&gt;0),ROWS($D$7:D16))),"")</f>
        <v>4823</v>
      </c>
      <c r="E16" t="s">
        <v>30</v>
      </c>
      <c r="F16" s="1">
        <f t="shared" si="0"/>
        <v>46084</v>
      </c>
      <c r="G16" cm="1">
        <f t="array" ref="G16">_xlfn.LET(
_xlpm.skus,Capacity!$D$3:$D$7,
_xlpm.caps,Capacity!$B$3:$B$7,
SUM(
(
SUMIFS($D$2:$D$70,$B$2:$B$70,_xlpm.skus,$F$2:$F$70,"&lt;="&amp;F16)
-
SUMIFS('Demand Projection'!$D$2:$D$169,'Demand Projection'!$B$2:$B$169,_xlpm.skus,'Demand Projection'!$C$2:$C$169,"&lt;="&amp;F16)
)
/_xlpm.caps
)
)</f>
        <v>0.80827846153846161</v>
      </c>
    </row>
    <row r="17" spans="1:7">
      <c r="A17">
        <v>16</v>
      </c>
      <c r="B17" t="str" cm="1">
        <f t="array" ref="B17">IFERROR(INDEX('Warehouse Helper'!$A$2:$A$169,_xlfn.AGGREGATE(15,6,(ROW('Warehouse Helper'!$J$2:$J$169)-ROW('Warehouse Helper'!$J$2)+1)/('Warehouse Helper'!$J$2:$J$169&gt;0),ROWS($B$7:B17))),"")</f>
        <v>SKU PROD E</v>
      </c>
      <c r="C17" s="1" cm="1">
        <f t="array" ref="C17">IFERROR(INDEX('Warehouse Helper'!$B$2:$B$169,_xlfn.AGGREGATE(15,6,(ROW('Warehouse Helper'!$J$2:$J$169)-ROW('Warehouse Helper'!$J$2)+1)/('Warehouse Helper'!$J$2:$J$169&gt;0),ROWS($C$7:C17))),"")</f>
        <v>46081</v>
      </c>
      <c r="D17" cm="1">
        <f t="array" ref="D17">IFERROR(INDEX('Warehouse Helper'!$J$2:$J$169,_xlfn.AGGREGATE(15,6,(ROW('Warehouse Helper'!$J$2:$J$169)-ROW('Warehouse Helper'!$J$2)+1)/('Warehouse Helper'!$J$2:$J$169&gt;0),ROWS($D$7:D17))),"")</f>
        <v>2570</v>
      </c>
      <c r="E17" t="s">
        <v>30</v>
      </c>
      <c r="F17" s="1">
        <f t="shared" si="0"/>
        <v>46084</v>
      </c>
      <c r="G17" cm="1">
        <f t="array" ref="G17">_xlfn.LET(
_xlpm.skus,Capacity!$D$3:$D$7,
_xlpm.caps,Capacity!$B$3:$B$7,
SUM(
(
SUMIFS($D$2:$D$70,$B$2:$B$70,_xlpm.skus,$F$2:$F$70,"&lt;="&amp;F17)
-
SUMIFS('Demand Projection'!$D$2:$D$169,'Demand Projection'!$B$2:$B$169,_xlpm.skus,'Demand Projection'!$C$2:$C$169,"&lt;="&amp;F17)
)
/_xlpm.caps
)
)</f>
        <v>0.80827846153846161</v>
      </c>
    </row>
    <row r="18" spans="1:7">
      <c r="A18">
        <v>17</v>
      </c>
      <c r="B18" t="str" cm="1">
        <f t="array" ref="B18">IFERROR(INDEX('Warehouse Helper'!$A$2:$A$169,_xlfn.AGGREGATE(15,6,(ROW('Warehouse Helper'!$J$2:$J$169)-ROW('Warehouse Helper'!$J$2)+1)/('Warehouse Helper'!$J$2:$J$169&gt;0),ROWS($B$7:B18))),"")</f>
        <v>SKU PROD B</v>
      </c>
      <c r="C18" s="1" cm="1">
        <f t="array" ref="C18">IFERROR(INDEX('Warehouse Helper'!$B$2:$B$169,_xlfn.AGGREGATE(15,6,(ROW('Warehouse Helper'!$J$2:$J$169)-ROW('Warehouse Helper'!$J$2)+1)/('Warehouse Helper'!$J$2:$J$169&gt;0),ROWS($C$7:C18))),"")</f>
        <v>46084</v>
      </c>
      <c r="D18" cm="1">
        <f t="array" ref="D18">IFERROR(INDEX('Warehouse Helper'!$J$2:$J$169,_xlfn.AGGREGATE(15,6,(ROW('Warehouse Helper'!$J$2:$J$169)-ROW('Warehouse Helper'!$J$2)+1)/('Warehouse Helper'!$J$2:$J$169&gt;0),ROWS($D$7:D18))),"")</f>
        <v>6804</v>
      </c>
      <c r="E18" t="s">
        <v>30</v>
      </c>
      <c r="F18" s="1">
        <f t="shared" si="0"/>
        <v>46087</v>
      </c>
      <c r="G18" cm="1">
        <f t="array" ref="G18">_xlfn.LET(
_xlpm.skus,Capacity!$D$3:$D$7,
_xlpm.caps,Capacity!$B$3:$B$7,
SUM(
(
SUMIFS($D$2:$D$70,$B$2:$B$70,_xlpm.skus,$F$2:$F$70,"&lt;="&amp;F18)
-
SUMIFS('Demand Projection'!$D$2:$D$169,'Demand Projection'!$B$2:$B$169,_xlpm.skus,'Demand Projection'!$C$2:$C$169,"&lt;="&amp;F18)
)
/_xlpm.caps
)
)</f>
        <v>0.90018846153846155</v>
      </c>
    </row>
    <row r="19" spans="1:7">
      <c r="A19">
        <v>18</v>
      </c>
      <c r="B19" t="str" cm="1">
        <f t="array" ref="B19">IFERROR(INDEX('Warehouse Helper'!$A$2:$A$169,_xlfn.AGGREGATE(15,6,(ROW('Warehouse Helper'!$J$2:$J$169)-ROW('Warehouse Helper'!$J$2)+1)/('Warehouse Helper'!$J$2:$J$169&gt;0),ROWS($B$7:B19))),"")</f>
        <v>SKU PROD A</v>
      </c>
      <c r="C19" s="1" cm="1">
        <f t="array" ref="C19">IFERROR(INDEX('Warehouse Helper'!$B$2:$B$169,_xlfn.AGGREGATE(15,6,(ROW('Warehouse Helper'!$J$2:$J$169)-ROW('Warehouse Helper'!$J$2)+1)/('Warehouse Helper'!$J$2:$J$169&gt;0),ROWS($C$7:C19))),"")</f>
        <v>46088</v>
      </c>
      <c r="D19" cm="1">
        <f t="array" ref="D19">IFERROR(INDEX('Warehouse Helper'!$J$2:$J$169,_xlfn.AGGREGATE(15,6,(ROW('Warehouse Helper'!$J$2:$J$169)-ROW('Warehouse Helper'!$J$2)+1)/('Warehouse Helper'!$J$2:$J$169&gt;0),ROWS($D$7:D19))),"")</f>
        <v>2545</v>
      </c>
      <c r="E19" t="s">
        <v>30</v>
      </c>
      <c r="F19" s="1">
        <f t="shared" si="0"/>
        <v>46091</v>
      </c>
      <c r="G19" cm="1">
        <f t="array" ref="G19">_xlfn.LET(
_xlpm.skus,Capacity!$D$3:$D$7,
_xlpm.caps,Capacity!$B$3:$B$7,
SUM(
(
SUMIFS($D$2:$D$70,$B$2:$B$70,_xlpm.skus,$F$2:$F$70,"&lt;="&amp;F19)
-
SUMIFS('Demand Projection'!$D$2:$D$169,'Demand Projection'!$B$2:$B$169,_xlpm.skus,'Demand Projection'!$C$2:$C$169,"&lt;="&amp;F19)
)
/_xlpm.caps
)
)</f>
        <v>1.0174551282051281</v>
      </c>
    </row>
    <row r="20" spans="1:7">
      <c r="A20">
        <v>19</v>
      </c>
      <c r="B20" t="str" cm="1">
        <f t="array" ref="B20">IFERROR(INDEX('Warehouse Helper'!$A$2:$A$169,_xlfn.AGGREGATE(15,6,(ROW('Warehouse Helper'!$J$2:$J$169)-ROW('Warehouse Helper'!$J$2)+1)/('Warehouse Helper'!$J$2:$J$169&gt;0),ROWS($B$7:B20))),"")</f>
        <v>SKU PROD C</v>
      </c>
      <c r="C20" s="1" cm="1">
        <f t="array" ref="C20">IFERROR(INDEX('Warehouse Helper'!$B$2:$B$169,_xlfn.AGGREGATE(15,6,(ROW('Warehouse Helper'!$J$2:$J$169)-ROW('Warehouse Helper'!$J$2)+1)/('Warehouse Helper'!$J$2:$J$169&gt;0),ROWS($C$7:C20))),"")</f>
        <v>46090</v>
      </c>
      <c r="D20" cm="1">
        <f t="array" ref="D20">IFERROR(INDEX('Warehouse Helper'!$J$2:$J$169,_xlfn.AGGREGATE(15,6,(ROW('Warehouse Helper'!$J$2:$J$169)-ROW('Warehouse Helper'!$J$2)+1)/('Warehouse Helper'!$J$2:$J$169&gt;0),ROWS($D$7:D20))),"")</f>
        <v>1442</v>
      </c>
      <c r="E20" t="s">
        <v>30</v>
      </c>
      <c r="F20" s="1">
        <f t="shared" si="0"/>
        <v>46093</v>
      </c>
      <c r="G20" cm="1">
        <f t="array" ref="G20">_xlfn.LET(
_xlpm.skus,Capacity!$D$3:$D$7,
_xlpm.caps,Capacity!$B$3:$B$7,
SUM(
(
SUMIFS($D$2:$D$70,$B$2:$B$70,_xlpm.skus,$F$2:$F$70,"&lt;="&amp;F20)
-
SUMIFS('Demand Projection'!$D$2:$D$169,'Demand Projection'!$B$2:$B$169,_xlpm.skus,'Demand Projection'!$C$2:$C$169,"&lt;="&amp;F20)
)
/_xlpm.caps
)
)</f>
        <v>1.0924602564102563</v>
      </c>
    </row>
    <row r="21" spans="1:7">
      <c r="A21">
        <v>20</v>
      </c>
      <c r="B21" t="str" cm="1">
        <f t="array" ref="B21">IFERROR(INDEX('Warehouse Helper'!$A$2:$A$169,_xlfn.AGGREGATE(15,6,(ROW('Warehouse Helper'!$J$2:$J$169)-ROW('Warehouse Helper'!$J$2)+1)/('Warehouse Helper'!$J$2:$J$169&gt;0),ROWS($B$7:B21))),"")</f>
        <v>SKU PROD D</v>
      </c>
      <c r="C21" s="1" cm="1">
        <f t="array" ref="C21">IFERROR(INDEX('Warehouse Helper'!$B$2:$B$169,_xlfn.AGGREGATE(15,6,(ROW('Warehouse Helper'!$J$2:$J$169)-ROW('Warehouse Helper'!$J$2)+1)/('Warehouse Helper'!$J$2:$J$169&gt;0),ROWS($C$7:C21))),"")</f>
        <v>46109</v>
      </c>
      <c r="D21" cm="1">
        <f t="array" ref="D21">IFERROR(INDEX('Warehouse Helper'!$J$2:$J$169,_xlfn.AGGREGATE(15,6,(ROW('Warehouse Helper'!$J$2:$J$169)-ROW('Warehouse Helper'!$J$2)+1)/('Warehouse Helper'!$J$2:$J$169&gt;0),ROWS($D$7:D21))),"")</f>
        <v>4841</v>
      </c>
      <c r="E21" t="s">
        <v>30</v>
      </c>
      <c r="F21" s="1">
        <f t="shared" si="0"/>
        <v>46112</v>
      </c>
      <c r="G21" cm="1">
        <f t="array" ref="G21">_xlfn.LET(
_xlpm.skus,Capacity!$D$3:$D$7,
_xlpm.caps,Capacity!$B$3:$B$7,
SUM(
(
SUMIFS($D$2:$D$70,$B$2:$B$70,_xlpm.skus,$F$2:$F$70,"&lt;="&amp;F21)
-
SUMIFS('Demand Projection'!$D$2:$D$169,'Demand Projection'!$B$2:$B$169,_xlpm.skus,'Demand Projection'!$C$2:$C$169,"&lt;="&amp;F21)
)
/_xlpm.caps
)
)</f>
        <v>0.99871846153846155</v>
      </c>
    </row>
    <row r="22" spans="1:7">
      <c r="A22">
        <v>21</v>
      </c>
      <c r="B22" t="str" cm="1">
        <f t="array" ref="B22">IFERROR(INDEX('Warehouse Helper'!$A$2:$A$169,_xlfn.AGGREGATE(15,6,(ROW('Warehouse Helper'!$J$2:$J$169)-ROW('Warehouse Helper'!$J$2)+1)/('Warehouse Helper'!$J$2:$J$169&gt;0),ROWS($B$7:B22))),"")</f>
        <v>SKU PROD E</v>
      </c>
      <c r="C22" s="1" cm="1">
        <f t="array" ref="C22">IFERROR(INDEX('Warehouse Helper'!$B$2:$B$169,_xlfn.AGGREGATE(15,6,(ROW('Warehouse Helper'!$J$2:$J$169)-ROW('Warehouse Helper'!$J$2)+1)/('Warehouse Helper'!$J$2:$J$169&gt;0),ROWS($C$7:C22))),"")</f>
        <v>46109</v>
      </c>
      <c r="D22" cm="1">
        <f t="array" ref="D22">IFERROR(INDEX('Warehouse Helper'!$J$2:$J$169,_xlfn.AGGREGATE(15,6,(ROW('Warehouse Helper'!$J$2:$J$169)-ROW('Warehouse Helper'!$J$2)+1)/('Warehouse Helper'!$J$2:$J$169&gt;0),ROWS($D$7:D22))),"")</f>
        <v>2595</v>
      </c>
      <c r="E22" t="s">
        <v>30</v>
      </c>
      <c r="F22" s="1">
        <f t="shared" si="0"/>
        <v>46112</v>
      </c>
      <c r="G22" cm="1">
        <f t="array" ref="G22">_xlfn.LET(
_xlpm.skus,Capacity!$D$3:$D$7,
_xlpm.caps,Capacity!$B$3:$B$7,
SUM(
(
SUMIFS($D$2:$D$70,$B$2:$B$70,_xlpm.skus,$F$2:$F$70,"&lt;="&amp;F22)
-
SUMIFS('Demand Projection'!$D$2:$D$169,'Demand Projection'!$B$2:$B$169,_xlpm.skus,'Demand Projection'!$C$2:$C$169,"&lt;="&amp;F22)
)
/_xlpm.caps
)
)</f>
        <v>0.99871846153846155</v>
      </c>
    </row>
    <row r="23" spans="1:7">
      <c r="A23">
        <v>22</v>
      </c>
      <c r="B23" t="str" cm="1">
        <f t="array" ref="B23">IFERROR(INDEX('Warehouse Helper'!$A$2:$A$169,_xlfn.AGGREGATE(15,6,(ROW('Warehouse Helper'!$J$2:$J$169)-ROW('Warehouse Helper'!$J$2)+1)/('Warehouse Helper'!$J$2:$J$169&gt;0),ROWS($B$7:B23))),"")</f>
        <v>SKU PROD A</v>
      </c>
      <c r="C23" s="1" cm="1">
        <f t="array" ref="C23">IFERROR(INDEX('Warehouse Helper'!$B$2:$B$169,_xlfn.AGGREGATE(15,6,(ROW('Warehouse Helper'!$J$2:$J$169)-ROW('Warehouse Helper'!$J$2)+1)/('Warehouse Helper'!$J$2:$J$169&gt;0),ROWS($C$7:C23))),"")</f>
        <v>46115</v>
      </c>
      <c r="D23" cm="1">
        <f t="array" ref="D23">IFERROR(INDEX('Warehouse Helper'!$J$2:$J$169,_xlfn.AGGREGATE(15,6,(ROW('Warehouse Helper'!$J$2:$J$169)-ROW('Warehouse Helper'!$J$2)+1)/('Warehouse Helper'!$J$2:$J$169&gt;0),ROWS($D$7:D23))),"")</f>
        <v>2147</v>
      </c>
      <c r="E23" t="s">
        <v>30</v>
      </c>
      <c r="F23" s="1">
        <f t="shared" si="0"/>
        <v>46118</v>
      </c>
      <c r="G23" cm="1">
        <f t="array" ref="G23">_xlfn.LET(
_xlpm.skus,Capacity!$D$3:$D$7,
_xlpm.caps,Capacity!$B$3:$B$7,
SUM(
(
SUMIFS($D$2:$D$70,$B$2:$B$70,_xlpm.skus,$F$2:$F$70,"&lt;="&amp;F23)
-
SUMIFS('Demand Projection'!$D$2:$D$169,'Demand Projection'!$B$2:$B$169,_xlpm.skus,'Demand Projection'!$C$2:$C$169,"&lt;="&amp;F23)
)
/_xlpm.caps
)
)</f>
        <v>0.94768846153846165</v>
      </c>
    </row>
    <row r="24" spans="1:7">
      <c r="A24">
        <v>23</v>
      </c>
      <c r="B24" t="str" cm="1">
        <f t="array" ref="B24">IFERROR(INDEX('Warehouse Helper'!$A$2:$A$169,_xlfn.AGGREGATE(15,6,(ROW('Warehouse Helper'!$J$2:$J$169)-ROW('Warehouse Helper'!$J$2)+1)/('Warehouse Helper'!$J$2:$J$169&gt;0),ROWS($B$7:B24))),"")</f>
        <v>SKU PROD B</v>
      </c>
      <c r="C24" s="1" cm="1">
        <f t="array" ref="C24">IFERROR(INDEX('Warehouse Helper'!$B$2:$B$169,_xlfn.AGGREGATE(15,6,(ROW('Warehouse Helper'!$J$2:$J$169)-ROW('Warehouse Helper'!$J$2)+1)/('Warehouse Helper'!$J$2:$J$169&gt;0),ROWS($C$7:C24))),"")</f>
        <v>46115</v>
      </c>
      <c r="D24" cm="1">
        <f t="array" ref="D24">IFERROR(INDEX('Warehouse Helper'!$J$2:$J$169,_xlfn.AGGREGATE(15,6,(ROW('Warehouse Helper'!$J$2:$J$169)-ROW('Warehouse Helper'!$J$2)+1)/('Warehouse Helper'!$J$2:$J$169&gt;0),ROWS($D$7:D24))),"")</f>
        <v>6947</v>
      </c>
      <c r="E24" t="s">
        <v>30</v>
      </c>
      <c r="F24" s="1">
        <f t="shared" si="0"/>
        <v>46118</v>
      </c>
      <c r="G24" cm="1">
        <f t="array" ref="G24">_xlfn.LET(
_xlpm.skus,Capacity!$D$3:$D$7,
_xlpm.caps,Capacity!$B$3:$B$7,
SUM(
(
SUMIFS($D$2:$D$70,$B$2:$B$70,_xlpm.skus,$F$2:$F$70,"&lt;="&amp;F24)
-
SUMIFS('Demand Projection'!$D$2:$D$169,'Demand Projection'!$B$2:$B$169,_xlpm.skus,'Demand Projection'!$C$2:$C$169,"&lt;="&amp;F24)
)
/_xlpm.caps
)
)</f>
        <v>0.94768846153846165</v>
      </c>
    </row>
    <row r="25" spans="1:7">
      <c r="A25">
        <v>24</v>
      </c>
      <c r="B25" t="str" cm="1">
        <f t="array" ref="B25">IFERROR(INDEX('Warehouse Helper'!$A$2:$A$169,_xlfn.AGGREGATE(15,6,(ROW('Warehouse Helper'!$J$2:$J$169)-ROW('Warehouse Helper'!$J$2)+1)/('Warehouse Helper'!$J$2:$J$169&gt;0),ROWS($B$7:B25))),"")</f>
        <v>SKU PROD A</v>
      </c>
      <c r="C25" s="1" cm="1">
        <f t="array" ref="C25">IFERROR(INDEX('Warehouse Helper'!$B$2:$B$169,_xlfn.AGGREGATE(15,6,(ROW('Warehouse Helper'!$J$2:$J$169)-ROW('Warehouse Helper'!$J$2)+1)/('Warehouse Helper'!$J$2:$J$169&gt;0),ROWS($C$7:C25))),"")</f>
        <v>46116</v>
      </c>
      <c r="D25" cm="1">
        <f t="array" ref="D25">IFERROR(INDEX('Warehouse Helper'!$J$2:$J$169,_xlfn.AGGREGATE(15,6,(ROW('Warehouse Helper'!$J$2:$J$169)-ROW('Warehouse Helper'!$J$2)+1)/('Warehouse Helper'!$J$2:$J$169&gt;0),ROWS($D$7:D25))),"")</f>
        <v>2570</v>
      </c>
      <c r="E25" t="s">
        <v>30</v>
      </c>
      <c r="F25" s="1">
        <f t="shared" si="0"/>
        <v>46119</v>
      </c>
      <c r="G25" cm="1">
        <f t="array" ref="G25">_xlfn.LET(
_xlpm.skus,Capacity!$D$3:$D$7,
_xlpm.caps,Capacity!$B$3:$B$7,
SUM(
(
SUMIFS($D$2:$D$70,$B$2:$B$70,_xlpm.skus,$F$2:$F$70,"&lt;="&amp;F25)
-
SUMIFS('Demand Projection'!$D$2:$D$169,'Demand Projection'!$B$2:$B$169,_xlpm.skus,'Demand Projection'!$C$2:$C$169,"&lt;="&amp;F25)
)
/_xlpm.caps
)
)</f>
        <v>1.0991884615384615</v>
      </c>
    </row>
    <row r="26" spans="1:7">
      <c r="A26">
        <v>25</v>
      </c>
      <c r="B26" t="str" cm="1">
        <f t="array" ref="B26">IFERROR(INDEX('Warehouse Helper'!$A$2:$A$169,_xlfn.AGGREGATE(15,6,(ROW('Warehouse Helper'!$J$2:$J$169)-ROW('Warehouse Helper'!$J$2)+1)/('Warehouse Helper'!$J$2:$J$169&gt;0),ROWS($B$7:B26))),"")</f>
        <v>SKU PROD C</v>
      </c>
      <c r="C26" s="1" cm="1">
        <f t="array" ref="C26">IFERROR(INDEX('Warehouse Helper'!$B$2:$B$169,_xlfn.AGGREGATE(15,6,(ROW('Warehouse Helper'!$J$2:$J$169)-ROW('Warehouse Helper'!$J$2)+1)/('Warehouse Helper'!$J$2:$J$169&gt;0),ROWS($C$7:C26))),"")</f>
        <v>46117</v>
      </c>
      <c r="D26" cm="1">
        <f t="array" ref="D26">IFERROR(INDEX('Warehouse Helper'!$J$2:$J$169,_xlfn.AGGREGATE(15,6,(ROW('Warehouse Helper'!$J$2:$J$169)-ROW('Warehouse Helper'!$J$2)+1)/('Warehouse Helper'!$J$2:$J$169&gt;0),ROWS($D$7:D26))),"")</f>
        <v>1824</v>
      </c>
      <c r="E26" t="s">
        <v>30</v>
      </c>
      <c r="F26" s="1">
        <f t="shared" si="0"/>
        <v>46120</v>
      </c>
      <c r="G26" cm="1">
        <f t="array" ref="G26">_xlfn.LET(
_xlpm.skus,Capacity!$D$3:$D$7,
_xlpm.caps,Capacity!$B$3:$B$7,
SUM(
(
SUMIFS($D$2:$D$70,$B$2:$B$70,_xlpm.skus,$F$2:$F$70,"&lt;="&amp;F26)
-
SUMIFS('Demand Projection'!$D$2:$D$169,'Demand Projection'!$B$2:$B$169,_xlpm.skus,'Demand Projection'!$C$2:$C$169,"&lt;="&amp;F26)
)
/_xlpm.caps
)
)</f>
        <v>1.2207884615384614</v>
      </c>
    </row>
    <row r="27" spans="1:7">
      <c r="A27">
        <v>26</v>
      </c>
      <c r="B27" t="str" cm="1">
        <f t="array" ref="B27">IFERROR(INDEX('Warehouse Helper'!$A$2:$A$169,_xlfn.AGGREGATE(15,6,(ROW('Warehouse Helper'!$J$2:$J$169)-ROW('Warehouse Helper'!$J$2)+1)/('Warehouse Helper'!$J$2:$J$169&gt;0),ROWS($B$7:B27))),"")</f>
        <v>SKU PROD C</v>
      </c>
      <c r="C27" s="1" cm="1">
        <f t="array" ref="C27">IFERROR(INDEX('Warehouse Helper'!$B$2:$B$169,_xlfn.AGGREGATE(15,6,(ROW('Warehouse Helper'!$J$2:$J$169)-ROW('Warehouse Helper'!$J$2)+1)/('Warehouse Helper'!$J$2:$J$169&gt;0),ROWS($C$7:C27))),"")</f>
        <v>46132</v>
      </c>
      <c r="D27" cm="1">
        <f t="array" ref="D27">IFERROR(INDEX('Warehouse Helper'!$J$2:$J$169,_xlfn.AGGREGATE(15,6,(ROW('Warehouse Helper'!$J$2:$J$169)-ROW('Warehouse Helper'!$J$2)+1)/('Warehouse Helper'!$J$2:$J$169&gt;0),ROWS($D$7:D27))),"")</f>
        <v>1358</v>
      </c>
      <c r="E27" t="s">
        <v>30</v>
      </c>
      <c r="F27" s="1">
        <f t="shared" si="0"/>
        <v>46135</v>
      </c>
      <c r="G27" cm="1">
        <f t="array" ref="G27">_xlfn.LET(
_xlpm.skus,Capacity!$D$3:$D$7,
_xlpm.caps,Capacity!$B$3:$B$7,
SUM(
(
SUMIFS($D$2:$D$70,$B$2:$B$70,_xlpm.skus,$F$2:$F$70,"&lt;="&amp;F27)
-
SUMIFS('Demand Projection'!$D$2:$D$169,'Demand Projection'!$B$2:$B$169,_xlpm.skus,'Demand Projection'!$C$2:$C$169,"&lt;="&amp;F27)
)
/_xlpm.caps
)
)</f>
        <v>1.0609861538461538</v>
      </c>
    </row>
    <row r="28" spans="1:7">
      <c r="A28">
        <v>27</v>
      </c>
      <c r="B28" t="str" cm="1">
        <f t="array" ref="B28">IFERROR(INDEX('Warehouse Helper'!$A$2:$A$169,_xlfn.AGGREGATE(15,6,(ROW('Warehouse Helper'!$J$2:$J$169)-ROW('Warehouse Helper'!$J$2)+1)/('Warehouse Helper'!$J$2:$J$169&gt;0),ROWS($B$7:B28))),"")</f>
        <v>SKU PROD D</v>
      </c>
      <c r="C28" s="1" cm="1">
        <f t="array" ref="C28">IFERROR(INDEX('Warehouse Helper'!$B$2:$B$169,_xlfn.AGGREGATE(15,6,(ROW('Warehouse Helper'!$J$2:$J$169)-ROW('Warehouse Helper'!$J$2)+1)/('Warehouse Helper'!$J$2:$J$169&gt;0),ROWS($C$7:C28))),"")</f>
        <v>46140</v>
      </c>
      <c r="D28" cm="1">
        <f t="array" ref="D28">IFERROR(INDEX('Warehouse Helper'!$J$2:$J$169,_xlfn.AGGREGATE(15,6,(ROW('Warehouse Helper'!$J$2:$J$169)-ROW('Warehouse Helper'!$J$2)+1)/('Warehouse Helper'!$J$2:$J$169&gt;0),ROWS($D$7:D28))),"")</f>
        <v>4647</v>
      </c>
      <c r="E28" t="s">
        <v>30</v>
      </c>
      <c r="F28" s="1">
        <f t="shared" si="0"/>
        <v>46143</v>
      </c>
      <c r="G28" cm="1">
        <f t="array" ref="G28">_xlfn.LET(
_xlpm.skus,Capacity!$D$3:$D$7,
_xlpm.caps,Capacity!$B$3:$B$7,
SUM(
(
SUMIFS($D$2:$D$70,$B$2:$B$70,_xlpm.skus,$F$2:$F$70,"&lt;="&amp;F28)
-
SUMIFS('Demand Projection'!$D$2:$D$169,'Demand Projection'!$B$2:$B$169,_xlpm.skus,'Demand Projection'!$C$2:$C$169,"&lt;="&amp;F28)
)
/_xlpm.caps
)
)</f>
        <v>1.1708784615384615</v>
      </c>
    </row>
    <row r="29" spans="1:7">
      <c r="A29">
        <v>28</v>
      </c>
      <c r="B29" t="str" cm="1">
        <f t="array" ref="B29">IFERROR(INDEX('Warehouse Helper'!$A$2:$A$169,_xlfn.AGGREGATE(15,6,(ROW('Warehouse Helper'!$J$2:$J$169)-ROW('Warehouse Helper'!$J$2)+1)/('Warehouse Helper'!$J$2:$J$169&gt;0),ROWS($B$7:B29))),"")</f>
        <v>SKU PROD E</v>
      </c>
      <c r="C29" s="1" cm="1">
        <f t="array" ref="C29">IFERROR(INDEX('Warehouse Helper'!$B$2:$B$169,_xlfn.AGGREGATE(15,6,(ROW('Warehouse Helper'!$J$2:$J$169)-ROW('Warehouse Helper'!$J$2)+1)/('Warehouse Helper'!$J$2:$J$169&gt;0),ROWS($C$7:C29))),"")</f>
        <v>46140</v>
      </c>
      <c r="D29" cm="1">
        <f t="array" ref="D29">IFERROR(INDEX('Warehouse Helper'!$J$2:$J$169,_xlfn.AGGREGATE(15,6,(ROW('Warehouse Helper'!$J$2:$J$169)-ROW('Warehouse Helper'!$J$2)+1)/('Warehouse Helper'!$J$2:$J$169&gt;0),ROWS($D$7:D29))),"")</f>
        <v>2497</v>
      </c>
      <c r="E29" t="s">
        <v>30</v>
      </c>
      <c r="F29" s="1">
        <f t="shared" si="0"/>
        <v>46143</v>
      </c>
      <c r="G29" cm="1">
        <f t="array" ref="G29">_xlfn.LET(
_xlpm.skus,Capacity!$D$3:$D$7,
_xlpm.caps,Capacity!$B$3:$B$7,
SUM(
(
SUMIFS($D$2:$D$70,$B$2:$B$70,_xlpm.skus,$F$2:$F$70,"&lt;="&amp;F29)
-
SUMIFS('Demand Projection'!$D$2:$D$169,'Demand Projection'!$B$2:$B$169,_xlpm.skus,'Demand Projection'!$C$2:$C$169,"&lt;="&amp;F29)
)
/_xlpm.caps
)
)</f>
        <v>1.1708784615384615</v>
      </c>
    </row>
    <row r="30" spans="1:7">
      <c r="A30">
        <v>29</v>
      </c>
      <c r="B30" t="str" cm="1">
        <f t="array" ref="B30">IFERROR(INDEX('Warehouse Helper'!$A$2:$A$169,_xlfn.AGGREGATE(15,6,(ROW('Warehouse Helper'!$J$2:$J$169)-ROW('Warehouse Helper'!$J$2)+1)/('Warehouse Helper'!$J$2:$J$169&gt;0),ROWS($B$7:B30))),"")</f>
        <v>SKU PROD B</v>
      </c>
      <c r="C30" s="1" cm="1">
        <f t="array" ref="C30">IFERROR(INDEX('Warehouse Helper'!$B$2:$B$169,_xlfn.AGGREGATE(15,6,(ROW('Warehouse Helper'!$J$2:$J$169)-ROW('Warehouse Helper'!$J$2)+1)/('Warehouse Helper'!$J$2:$J$169&gt;0),ROWS($C$7:C30))),"")</f>
        <v>46145</v>
      </c>
      <c r="D30" cm="1">
        <f t="array" ref="D30">IFERROR(INDEX('Warehouse Helper'!$J$2:$J$169,_xlfn.AGGREGATE(15,6,(ROW('Warehouse Helper'!$J$2:$J$169)-ROW('Warehouse Helper'!$J$2)+1)/('Warehouse Helper'!$J$2:$J$169&gt;0),ROWS($D$7:D30))),"")</f>
        <v>6647</v>
      </c>
      <c r="E30" t="s">
        <v>30</v>
      </c>
      <c r="F30" s="1">
        <f t="shared" si="0"/>
        <v>46148</v>
      </c>
      <c r="G30" cm="1">
        <f t="array" ref="G30">_xlfn.LET(
_xlpm.skus,Capacity!$D$3:$D$7,
_xlpm.caps,Capacity!$B$3:$B$7,
SUM(
(
SUMIFS($D$2:$D$70,$B$2:$B$70,_xlpm.skus,$F$2:$F$70,"&lt;="&amp;F30)
-
SUMIFS('Demand Projection'!$D$2:$D$169,'Demand Projection'!$B$2:$B$169,_xlpm.skus,'Demand Projection'!$C$2:$C$169,"&lt;="&amp;F30)
)
/_xlpm.caps
)
)</f>
        <v>0.92009679487179485</v>
      </c>
    </row>
    <row r="31" spans="1:7">
      <c r="A31">
        <v>30</v>
      </c>
      <c r="B31" t="str" cm="1">
        <f t="array" ref="B31">IFERROR(INDEX('Warehouse Helper'!$A$2:$A$169,_xlfn.AGGREGATE(15,6,(ROW('Warehouse Helper'!$J$2:$J$169)-ROW('Warehouse Helper'!$J$2)+1)/('Warehouse Helper'!$J$2:$J$169&gt;0),ROWS($B$7:B31))),"")</f>
        <v>SKU PROD A</v>
      </c>
      <c r="C31" s="1" cm="1">
        <f t="array" ref="C31">IFERROR(INDEX('Warehouse Helper'!$B$2:$B$169,_xlfn.AGGREGATE(15,6,(ROW('Warehouse Helper'!$J$2:$J$169)-ROW('Warehouse Helper'!$J$2)+1)/('Warehouse Helper'!$J$2:$J$169&gt;0),ROWS($C$7:C31))),"")</f>
        <v>46149</v>
      </c>
      <c r="D31" cm="1">
        <f t="array" ref="D31">IFERROR(INDEX('Warehouse Helper'!$J$2:$J$169,_xlfn.AGGREGATE(15,6,(ROW('Warehouse Helper'!$J$2:$J$169)-ROW('Warehouse Helper'!$J$2)+1)/('Warehouse Helper'!$J$2:$J$169&gt;0),ROWS($D$7:D31))),"")</f>
        <v>2354</v>
      </c>
      <c r="E31" t="s">
        <v>30</v>
      </c>
      <c r="F31" s="1">
        <f t="shared" si="0"/>
        <v>46152</v>
      </c>
      <c r="G31" cm="1">
        <f t="array" ref="G31">_xlfn.LET(
_xlpm.skus,Capacity!$D$3:$D$7,
_xlpm.caps,Capacity!$B$3:$B$7,
SUM(
(
SUMIFS($D$2:$D$70,$B$2:$B$70,_xlpm.skus,$F$2:$F$70,"&lt;="&amp;F31)
-
SUMIFS('Demand Projection'!$D$2:$D$169,'Demand Projection'!$B$2:$B$169,_xlpm.skus,'Demand Projection'!$C$2:$C$169,"&lt;="&amp;F31)
)
/_xlpm.caps
)
)</f>
        <v>1.0217301282051281</v>
      </c>
    </row>
    <row r="32" spans="1:7">
      <c r="A32">
        <v>31</v>
      </c>
      <c r="B32" t="str" cm="1">
        <f t="array" ref="B32">IFERROR(INDEX('Warehouse Helper'!$A$2:$A$169,_xlfn.AGGREGATE(15,6,(ROW('Warehouse Helper'!$J$2:$J$169)-ROW('Warehouse Helper'!$J$2)+1)/('Warehouse Helper'!$J$2:$J$169&gt;0),ROWS($B$7:B32))),"")</f>
        <v>SKU PROD C</v>
      </c>
      <c r="C32" s="1" cm="1">
        <f t="array" ref="C32">IFERROR(INDEX('Warehouse Helper'!$B$2:$B$169,_xlfn.AGGREGATE(15,6,(ROW('Warehouse Helper'!$J$2:$J$169)-ROW('Warehouse Helper'!$J$2)+1)/('Warehouse Helper'!$J$2:$J$169&gt;0),ROWS($C$7:C32))),"")</f>
        <v>46151</v>
      </c>
      <c r="D32" cm="1">
        <f t="array" ref="D32">IFERROR(INDEX('Warehouse Helper'!$J$2:$J$169,_xlfn.AGGREGATE(15,6,(ROW('Warehouse Helper'!$J$2:$J$169)-ROW('Warehouse Helper'!$J$2)+1)/('Warehouse Helper'!$J$2:$J$169&gt;0),ROWS($D$7:D32))),"")</f>
        <v>1406</v>
      </c>
      <c r="E32" t="s">
        <v>30</v>
      </c>
      <c r="F32" s="1">
        <f t="shared" si="0"/>
        <v>46154</v>
      </c>
      <c r="G32" cm="1">
        <f t="array" ref="G32">_xlfn.LET(
_xlpm.skus,Capacity!$D$3:$D$7,
_xlpm.caps,Capacity!$B$3:$B$7,
SUM(
(
SUMIFS($D$2:$D$70,$B$2:$B$70,_xlpm.skus,$F$2:$F$70,"&lt;="&amp;F32)
-
SUMIFS('Demand Projection'!$D$2:$D$169,'Demand Projection'!$B$2:$B$169,_xlpm.skus,'Demand Projection'!$C$2:$C$169,"&lt;="&amp;F32)
)
/_xlpm.caps
)
)</f>
        <v>1.0948480769230771</v>
      </c>
    </row>
    <row r="33" spans="1:7">
      <c r="A33">
        <v>32</v>
      </c>
      <c r="B33" t="str" cm="1">
        <f t="array" ref="B33">IFERROR(INDEX('Warehouse Helper'!$A$2:$A$169,_xlfn.AGGREGATE(15,6,(ROW('Warehouse Helper'!$J$2:$J$169)-ROW('Warehouse Helper'!$J$2)+1)/('Warehouse Helper'!$J$2:$J$169&gt;0),ROWS($B$7:B33))),"")</f>
        <v>SKU PROD D</v>
      </c>
      <c r="C33" s="1" cm="1">
        <f t="array" ref="C33">IFERROR(INDEX('Warehouse Helper'!$B$2:$B$169,_xlfn.AGGREGATE(15,6,(ROW('Warehouse Helper'!$J$2:$J$169)-ROW('Warehouse Helper'!$J$2)+1)/('Warehouse Helper'!$J$2:$J$169&gt;0),ROWS($C$7:C33))),"")</f>
        <v>46170</v>
      </c>
      <c r="D33" cm="1">
        <f t="array" ref="D33">IFERROR(INDEX('Warehouse Helper'!$J$2:$J$169,_xlfn.AGGREGATE(15,6,(ROW('Warehouse Helper'!$J$2:$J$169)-ROW('Warehouse Helper'!$J$2)+1)/('Warehouse Helper'!$J$2:$J$169&gt;0),ROWS($D$7:D33))),"")</f>
        <v>4727</v>
      </c>
      <c r="E33" t="s">
        <v>30</v>
      </c>
      <c r="F33" s="1">
        <f t="shared" si="0"/>
        <v>46173</v>
      </c>
      <c r="G33" cm="1">
        <f t="array" ref="G33">_xlfn.LET(
_xlpm.skus,Capacity!$D$3:$D$7,
_xlpm.caps,Capacity!$B$3:$B$7,
SUM(
(
SUMIFS($D$2:$D$70,$B$2:$B$70,_xlpm.skus,$F$2:$F$70,"&lt;="&amp;F33)
-
SUMIFS('Demand Projection'!$D$2:$D$169,'Demand Projection'!$B$2:$B$169,_xlpm.skus,'Demand Projection'!$C$2:$C$169,"&lt;="&amp;F33)
)
/_xlpm.caps
)
)</f>
        <v>1.0051184615384614</v>
      </c>
    </row>
    <row r="34" spans="1:7">
      <c r="A34">
        <v>33</v>
      </c>
      <c r="B34" t="str" cm="1">
        <f t="array" ref="B34">IFERROR(INDEX('Warehouse Helper'!$A$2:$A$169,_xlfn.AGGREGATE(15,6,(ROW('Warehouse Helper'!$J$2:$J$169)-ROW('Warehouse Helper'!$J$2)+1)/('Warehouse Helper'!$J$2:$J$169&gt;0),ROWS($B$7:B34))),"")</f>
        <v>SKU PROD E</v>
      </c>
      <c r="C34" s="1" cm="1">
        <f t="array" ref="C34">IFERROR(INDEX('Warehouse Helper'!$B$2:$B$169,_xlfn.AGGREGATE(15,6,(ROW('Warehouse Helper'!$J$2:$J$169)-ROW('Warehouse Helper'!$J$2)+1)/('Warehouse Helper'!$J$2:$J$169&gt;0),ROWS($C$7:C34))),"")</f>
        <v>46170</v>
      </c>
      <c r="D34" cm="1">
        <f t="array" ref="D34">IFERROR(INDEX('Warehouse Helper'!$J$2:$J$169,_xlfn.AGGREGATE(15,6,(ROW('Warehouse Helper'!$J$2:$J$169)-ROW('Warehouse Helper'!$J$2)+1)/('Warehouse Helper'!$J$2:$J$169&gt;0),ROWS($D$7:D34))),"")</f>
        <v>2580</v>
      </c>
      <c r="E34" t="s">
        <v>30</v>
      </c>
      <c r="F34" s="1">
        <f t="shared" si="0"/>
        <v>46173</v>
      </c>
      <c r="G34" cm="1">
        <f t="array" ref="G34">_xlfn.LET(
_xlpm.skus,Capacity!$D$3:$D$7,
_xlpm.caps,Capacity!$B$3:$B$7,
SUM(
(
SUMIFS($D$2:$D$70,$B$2:$B$70,_xlpm.skus,$F$2:$F$70,"&lt;="&amp;F34)
-
SUMIFS('Demand Projection'!$D$2:$D$169,'Demand Projection'!$B$2:$B$169,_xlpm.skus,'Demand Projection'!$C$2:$C$169,"&lt;="&amp;F34)
)
/_xlpm.caps
)
)</f>
        <v>1.0051184615384614</v>
      </c>
    </row>
    <row r="35" spans="1:7">
      <c r="A35">
        <v>34</v>
      </c>
      <c r="B35" t="str" cm="1">
        <f t="array" ref="B35">IFERROR(INDEX('Warehouse Helper'!$A$2:$A$169,_xlfn.AGGREGATE(15,6,(ROW('Warehouse Helper'!$J$2:$J$169)-ROW('Warehouse Helper'!$J$2)+1)/('Warehouse Helper'!$J$2:$J$169&gt;0),ROWS($B$7:B35))),"")</f>
        <v>SKU PROD A</v>
      </c>
      <c r="C35" s="1" cm="1">
        <f t="array" ref="C35">IFERROR(INDEX('Warehouse Helper'!$B$2:$B$169,_xlfn.AGGREGATE(15,6,(ROW('Warehouse Helper'!$J$2:$J$169)-ROW('Warehouse Helper'!$J$2)+1)/('Warehouse Helper'!$J$2:$J$169&gt;0),ROWS($C$7:C35))),"")</f>
        <v>46176</v>
      </c>
      <c r="D35" cm="1">
        <f t="array" ref="D35">IFERROR(INDEX('Warehouse Helper'!$J$2:$J$169,_xlfn.AGGREGATE(15,6,(ROW('Warehouse Helper'!$J$2:$J$169)-ROW('Warehouse Helper'!$J$2)+1)/('Warehouse Helper'!$J$2:$J$169&gt;0),ROWS($D$7:D35))),"")</f>
        <v>2043</v>
      </c>
      <c r="E35" t="s">
        <v>30</v>
      </c>
      <c r="F35" s="1">
        <f t="shared" si="0"/>
        <v>46179</v>
      </c>
      <c r="G35" cm="1">
        <f t="array" ref="G35">_xlfn.LET(
_xlpm.skus,Capacity!$D$3:$D$7,
_xlpm.caps,Capacity!$B$3:$B$7,
SUM(
(
SUMIFS($D$2:$D$70,$B$2:$B$70,_xlpm.skus,$F$2:$F$70,"&lt;="&amp;F35)
-
SUMIFS('Demand Projection'!$D$2:$D$169,'Demand Projection'!$B$2:$B$169,_xlpm.skus,'Demand Projection'!$C$2:$C$169,"&lt;="&amp;F35)
)
/_xlpm.caps
)
)</f>
        <v>0.97114679487179489</v>
      </c>
    </row>
    <row r="36" spans="1:7">
      <c r="A36">
        <v>35</v>
      </c>
      <c r="B36" t="str" cm="1">
        <f t="array" ref="B36">IFERROR(INDEX('Warehouse Helper'!$A$2:$A$169,_xlfn.AGGREGATE(15,6,(ROW('Warehouse Helper'!$J$2:$J$169)-ROW('Warehouse Helper'!$J$2)+1)/('Warehouse Helper'!$J$2:$J$169&gt;0),ROWS($B$7:B36))),"")</f>
        <v>SKU PROD B</v>
      </c>
      <c r="C36" s="1" cm="1">
        <f t="array" ref="C36">IFERROR(INDEX('Warehouse Helper'!$B$2:$B$169,_xlfn.AGGREGATE(15,6,(ROW('Warehouse Helper'!$J$2:$J$169)-ROW('Warehouse Helper'!$J$2)+1)/('Warehouse Helper'!$J$2:$J$169&gt;0),ROWS($C$7:C36))),"")</f>
        <v>46176</v>
      </c>
      <c r="D36" cm="1">
        <f t="array" ref="D36">IFERROR(INDEX('Warehouse Helper'!$J$2:$J$169,_xlfn.AGGREGATE(15,6,(ROW('Warehouse Helper'!$J$2:$J$169)-ROW('Warehouse Helper'!$J$2)+1)/('Warehouse Helper'!$J$2:$J$169&gt;0),ROWS($D$7:D36))),"")</f>
        <v>6316</v>
      </c>
      <c r="E36" t="s">
        <v>30</v>
      </c>
      <c r="F36" s="1">
        <f t="shared" si="0"/>
        <v>46179</v>
      </c>
      <c r="G36" cm="1">
        <f t="array" ref="G36">_xlfn.LET(
_xlpm.skus,Capacity!$D$3:$D$7,
_xlpm.caps,Capacity!$B$3:$B$7,
SUM(
(
SUMIFS($D$2:$D$70,$B$2:$B$70,_xlpm.skus,$F$2:$F$70,"&lt;="&amp;F36)
-
SUMIFS('Demand Projection'!$D$2:$D$169,'Demand Projection'!$B$2:$B$169,_xlpm.skus,'Demand Projection'!$C$2:$C$169,"&lt;="&amp;F36)
)
/_xlpm.caps
)
)</f>
        <v>0.97114679487179489</v>
      </c>
    </row>
    <row r="37" spans="1:7">
      <c r="A37">
        <v>36</v>
      </c>
      <c r="B37" t="str" cm="1">
        <f t="array" ref="B37">IFERROR(INDEX('Warehouse Helper'!$A$2:$A$169,_xlfn.AGGREGATE(15,6,(ROW('Warehouse Helper'!$J$2:$J$169)-ROW('Warehouse Helper'!$J$2)+1)/('Warehouse Helper'!$J$2:$J$169&gt;0),ROWS($B$7:B37))),"")</f>
        <v>SKU PROD A</v>
      </c>
      <c r="C37" s="1" cm="1">
        <f t="array" ref="C37">IFERROR(INDEX('Warehouse Helper'!$B$2:$B$169,_xlfn.AGGREGATE(15,6,(ROW('Warehouse Helper'!$J$2:$J$169)-ROW('Warehouse Helper'!$J$2)+1)/('Warehouse Helper'!$J$2:$J$169&gt;0),ROWS($C$7:C37))),"")</f>
        <v>46177</v>
      </c>
      <c r="D37" cm="1">
        <f t="array" ref="D37">IFERROR(INDEX('Warehouse Helper'!$J$2:$J$169,_xlfn.AGGREGATE(15,6,(ROW('Warehouse Helper'!$J$2:$J$169)-ROW('Warehouse Helper'!$J$2)+1)/('Warehouse Helper'!$J$2:$J$169&gt;0),ROWS($D$7:D37))),"")</f>
        <v>2425</v>
      </c>
      <c r="E37" t="s">
        <v>30</v>
      </c>
      <c r="F37" s="1">
        <f t="shared" si="0"/>
        <v>46180</v>
      </c>
      <c r="G37" cm="1">
        <f t="array" ref="G37">_xlfn.LET(
_xlpm.skus,Capacity!$D$3:$D$7,
_xlpm.caps,Capacity!$B$3:$B$7,
SUM(
(
SUMIFS($D$2:$D$70,$B$2:$B$70,_xlpm.skus,$F$2:$F$70,"&lt;="&amp;F37)
-
SUMIFS('Demand Projection'!$D$2:$D$169,'Demand Projection'!$B$2:$B$169,_xlpm.skus,'Demand Projection'!$C$2:$C$169,"&lt;="&amp;F37)
)
/_xlpm.caps
)
)</f>
        <v>1.1183467948717949</v>
      </c>
    </row>
    <row r="38" spans="1:7">
      <c r="A38">
        <v>37</v>
      </c>
      <c r="B38" t="str" cm="1">
        <f t="array" ref="B38">IFERROR(INDEX('Warehouse Helper'!$A$2:$A$169,_xlfn.AGGREGATE(15,6,(ROW('Warehouse Helper'!$J$2:$J$169)-ROW('Warehouse Helper'!$J$2)+1)/('Warehouse Helper'!$J$2:$J$169&gt;0),ROWS($B$7:B38))),"")</f>
        <v>SKU PROD C</v>
      </c>
      <c r="C38" s="1" cm="1">
        <f t="array" ref="C38">IFERROR(INDEX('Warehouse Helper'!$B$2:$B$169,_xlfn.AGGREGATE(15,6,(ROW('Warehouse Helper'!$J$2:$J$169)-ROW('Warehouse Helper'!$J$2)+1)/('Warehouse Helper'!$J$2:$J$169&gt;0),ROWS($C$7:C38))),"")</f>
        <v>46178</v>
      </c>
      <c r="D38" cm="1">
        <f t="array" ref="D38">IFERROR(INDEX('Warehouse Helper'!$J$2:$J$169,_xlfn.AGGREGATE(15,6,(ROW('Warehouse Helper'!$J$2:$J$169)-ROW('Warehouse Helper'!$J$2)+1)/('Warehouse Helper'!$J$2:$J$169&gt;0),ROWS($D$7:D38))),"")</f>
        <v>1648</v>
      </c>
      <c r="E38" t="s">
        <v>30</v>
      </c>
      <c r="F38" s="1">
        <f t="shared" si="0"/>
        <v>46181</v>
      </c>
      <c r="G38" cm="1">
        <f t="array" ref="G38">_xlfn.LET(
_xlpm.skus,Capacity!$D$3:$D$7,
_xlpm.caps,Capacity!$B$3:$B$7,
SUM(
(
SUMIFS($D$2:$D$70,$B$2:$B$70,_xlpm.skus,$F$2:$F$70,"&lt;="&amp;F38)
-
SUMIFS('Demand Projection'!$D$2:$D$169,'Demand Projection'!$B$2:$B$169,_xlpm.skus,'Demand Projection'!$C$2:$C$169,"&lt;="&amp;F38)
)
/_xlpm.caps
)
)</f>
        <v>1.2282134615384614</v>
      </c>
    </row>
    <row r="39" spans="1:7">
      <c r="A39">
        <v>38</v>
      </c>
      <c r="B39" t="str" cm="1">
        <f t="array" ref="B39">IFERROR(INDEX('Warehouse Helper'!$A$2:$A$169,_xlfn.AGGREGATE(15,6,(ROW('Warehouse Helper'!$J$2:$J$169)-ROW('Warehouse Helper'!$J$2)+1)/('Warehouse Helper'!$J$2:$J$169&gt;0),ROWS($B$7:B39))),"")</f>
        <v>SKU PROD C</v>
      </c>
      <c r="C39" s="1" cm="1">
        <f t="array" ref="C39">IFERROR(INDEX('Warehouse Helper'!$B$2:$B$169,_xlfn.AGGREGATE(15,6,(ROW('Warehouse Helper'!$J$2:$J$169)-ROW('Warehouse Helper'!$J$2)+1)/('Warehouse Helper'!$J$2:$J$169&gt;0),ROWS($C$7:C39))),"")</f>
        <v>46193</v>
      </c>
      <c r="D39" cm="1">
        <f t="array" ref="D39">IFERROR(INDEX('Warehouse Helper'!$J$2:$J$169,_xlfn.AGGREGATE(15,6,(ROW('Warehouse Helper'!$J$2:$J$169)-ROW('Warehouse Helper'!$J$2)+1)/('Warehouse Helper'!$J$2:$J$169&gt;0),ROWS($D$7:D39))),"")</f>
        <v>1227</v>
      </c>
      <c r="E39" t="s">
        <v>30</v>
      </c>
      <c r="F39" s="1">
        <f t="shared" si="0"/>
        <v>46196</v>
      </c>
      <c r="G39" cm="1">
        <f t="array" ref="G39">_xlfn.LET(
_xlpm.skus,Capacity!$D$3:$D$7,
_xlpm.caps,Capacity!$B$3:$B$7,
SUM(
(
SUMIFS($D$2:$D$70,$B$2:$B$70,_xlpm.skus,$F$2:$F$70,"&lt;="&amp;F39)
-
SUMIFS('Demand Projection'!$D$2:$D$169,'Demand Projection'!$B$2:$B$169,_xlpm.skus,'Demand Projection'!$C$2:$C$169,"&lt;="&amp;F39)
)
/_xlpm.caps
)
)</f>
        <v>1.083828717948718</v>
      </c>
    </row>
    <row r="40" spans="1:7">
      <c r="A40">
        <v>39</v>
      </c>
      <c r="B40" t="str" cm="1">
        <f t="array" ref="B40">IFERROR(INDEX('Warehouse Helper'!$A$2:$A$169,_xlfn.AGGREGATE(15,6,(ROW('Warehouse Helper'!$J$2:$J$169)-ROW('Warehouse Helper'!$J$2)+1)/('Warehouse Helper'!$J$2:$J$169&gt;0),ROWS($B$7:B40))),"")</f>
        <v>SKU PROD D</v>
      </c>
      <c r="C40" s="1" cm="1">
        <f t="array" ref="C40">IFERROR(INDEX('Warehouse Helper'!$B$2:$B$169,_xlfn.AGGREGATE(15,6,(ROW('Warehouse Helper'!$J$2:$J$169)-ROW('Warehouse Helper'!$J$2)+1)/('Warehouse Helper'!$J$2:$J$169&gt;0),ROWS($C$7:C40))),"")</f>
        <v>46201</v>
      </c>
      <c r="D40" cm="1">
        <f t="array" ref="D40">IFERROR(INDEX('Warehouse Helper'!$J$2:$J$169,_xlfn.AGGREGATE(15,6,(ROW('Warehouse Helper'!$J$2:$J$169)-ROW('Warehouse Helper'!$J$2)+1)/('Warehouse Helper'!$J$2:$J$169&gt;0),ROWS($D$7:D40))),"")</f>
        <v>4492</v>
      </c>
      <c r="E40" t="s">
        <v>30</v>
      </c>
      <c r="F40" s="1">
        <f t="shared" si="0"/>
        <v>46204</v>
      </c>
      <c r="G40" cm="1">
        <f t="array" ref="G40">_xlfn.LET(
_xlpm.skus,Capacity!$D$3:$D$7,
_xlpm.caps,Capacity!$B$3:$B$7,
SUM(
(
SUMIFS($D$2:$D$70,$B$2:$B$70,_xlpm.skus,$F$2:$F$70,"&lt;="&amp;F40)
-
SUMIFS('Demand Projection'!$D$2:$D$169,'Demand Projection'!$B$2:$B$169,_xlpm.skus,'Demand Projection'!$C$2:$C$169,"&lt;="&amp;F40)
)
/_xlpm.caps
)
)</f>
        <v>1.1733184615384615</v>
      </c>
    </row>
    <row r="41" spans="1:7">
      <c r="A41">
        <v>40</v>
      </c>
      <c r="B41" t="str" cm="1">
        <f t="array" ref="B41">IFERROR(INDEX('Warehouse Helper'!$A$2:$A$169,_xlfn.AGGREGATE(15,6,(ROW('Warehouse Helper'!$J$2:$J$169)-ROW('Warehouse Helper'!$J$2)+1)/('Warehouse Helper'!$J$2:$J$169&gt;0),ROWS($B$7:B41))),"")</f>
        <v>SKU PROD E</v>
      </c>
      <c r="C41" s="1" cm="1">
        <f t="array" ref="C41">IFERROR(INDEX('Warehouse Helper'!$B$2:$B$169,_xlfn.AGGREGATE(15,6,(ROW('Warehouse Helper'!$J$2:$J$169)-ROW('Warehouse Helper'!$J$2)+1)/('Warehouse Helper'!$J$2:$J$169&gt;0),ROWS($C$7:C41))),"")</f>
        <v>46201</v>
      </c>
      <c r="D41" cm="1">
        <f t="array" ref="D41">IFERROR(INDEX('Warehouse Helper'!$J$2:$J$169,_xlfn.AGGREGATE(15,6,(ROW('Warehouse Helper'!$J$2:$J$169)-ROW('Warehouse Helper'!$J$2)+1)/('Warehouse Helper'!$J$2:$J$169&gt;0),ROWS($D$7:D41))),"")</f>
        <v>2452</v>
      </c>
      <c r="E41" t="s">
        <v>30</v>
      </c>
      <c r="F41" s="1">
        <f t="shared" si="0"/>
        <v>46204</v>
      </c>
      <c r="G41" cm="1">
        <f t="array" ref="G41">_xlfn.LET(
_xlpm.skus,Capacity!$D$3:$D$7,
_xlpm.caps,Capacity!$B$3:$B$7,
SUM(
(
SUMIFS($D$2:$D$70,$B$2:$B$70,_xlpm.skus,$F$2:$F$70,"&lt;="&amp;F41)
-
SUMIFS('Demand Projection'!$D$2:$D$169,'Demand Projection'!$B$2:$B$169,_xlpm.skus,'Demand Projection'!$C$2:$C$169,"&lt;="&amp;F41)
)
/_xlpm.caps
)
)</f>
        <v>1.1733184615384615</v>
      </c>
    </row>
    <row r="42" spans="1:7">
      <c r="A42">
        <v>41</v>
      </c>
      <c r="B42" t="str" cm="1">
        <f t="array" ref="B42">IFERROR(INDEX('Warehouse Helper'!$A$2:$A$169,_xlfn.AGGREGATE(15,6,(ROW('Warehouse Helper'!$J$2:$J$169)-ROW('Warehouse Helper'!$J$2)+1)/('Warehouse Helper'!$J$2:$J$169&gt;0),ROWS($B$7:B42))),"")</f>
        <v>SKU PROD B</v>
      </c>
      <c r="C42" s="1" cm="1">
        <f t="array" ref="C42">IFERROR(INDEX('Warehouse Helper'!$B$2:$B$169,_xlfn.AGGREGATE(15,6,(ROW('Warehouse Helper'!$J$2:$J$169)-ROW('Warehouse Helper'!$J$2)+1)/('Warehouse Helper'!$J$2:$J$169&gt;0),ROWS($C$7:C42))),"")</f>
        <v>46206</v>
      </c>
      <c r="D42" cm="1">
        <f t="array" ref="D42">IFERROR(INDEX('Warehouse Helper'!$J$2:$J$169,_xlfn.AGGREGATE(15,6,(ROW('Warehouse Helper'!$J$2:$J$169)-ROW('Warehouse Helper'!$J$2)+1)/('Warehouse Helper'!$J$2:$J$169&gt;0),ROWS($D$7:D42))),"")</f>
        <v>7143</v>
      </c>
      <c r="E42" t="s">
        <v>30</v>
      </c>
      <c r="F42" s="1">
        <f t="shared" si="0"/>
        <v>46209</v>
      </c>
      <c r="G42" cm="1">
        <f t="array" ref="G42">_xlfn.LET(
_xlpm.skus,Capacity!$D$3:$D$7,
_xlpm.caps,Capacity!$B$3:$B$7,
SUM(
(
SUMIFS($D$2:$D$70,$B$2:$B$70,_xlpm.skus,$F$2:$F$70,"&lt;="&amp;F42)
-
SUMIFS('Demand Projection'!$D$2:$D$169,'Demand Projection'!$B$2:$B$169,_xlpm.skus,'Demand Projection'!$C$2:$C$169,"&lt;="&amp;F42)
)
/_xlpm.caps
)
)</f>
        <v>0.89439679487179491</v>
      </c>
    </row>
    <row r="43" spans="1:7">
      <c r="A43">
        <v>42</v>
      </c>
      <c r="B43" t="str" cm="1">
        <f t="array" ref="B43">IFERROR(INDEX('Warehouse Helper'!$A$2:$A$169,_xlfn.AGGREGATE(15,6,(ROW('Warehouse Helper'!$J$2:$J$169)-ROW('Warehouse Helper'!$J$2)+1)/('Warehouse Helper'!$J$2:$J$169&gt;0),ROWS($B$7:B43))),"")</f>
        <v>SKU PROD A</v>
      </c>
      <c r="C43" s="1" cm="1">
        <f t="array" ref="C43">IFERROR(INDEX('Warehouse Helper'!$B$2:$B$169,_xlfn.AGGREGATE(15,6,(ROW('Warehouse Helper'!$J$2:$J$169)-ROW('Warehouse Helper'!$J$2)+1)/('Warehouse Helper'!$J$2:$J$169&gt;0),ROWS($C$7:C43))),"")</f>
        <v>46210</v>
      </c>
      <c r="D43" cm="1">
        <f t="array" ref="D43">IFERROR(INDEX('Warehouse Helper'!$J$2:$J$169,_xlfn.AGGREGATE(15,6,(ROW('Warehouse Helper'!$J$2:$J$169)-ROW('Warehouse Helper'!$J$2)+1)/('Warehouse Helper'!$J$2:$J$169&gt;0),ROWS($D$7:D43))),"")</f>
        <v>2578</v>
      </c>
      <c r="E43" t="s">
        <v>30</v>
      </c>
      <c r="F43" s="1">
        <f t="shared" si="0"/>
        <v>46213</v>
      </c>
      <c r="G43" cm="1">
        <f t="array" ref="G43">_xlfn.LET(
_xlpm.skus,Capacity!$D$3:$D$7,
_xlpm.caps,Capacity!$B$3:$B$7,
SUM(
(
SUMIFS($D$2:$D$70,$B$2:$B$70,_xlpm.skus,$F$2:$F$70,"&lt;="&amp;F43)
-
SUMIFS('Demand Projection'!$D$2:$D$169,'Demand Projection'!$B$2:$B$169,_xlpm.skus,'Demand Projection'!$C$2:$C$169,"&lt;="&amp;F43)
)
/_xlpm.caps
)
)</f>
        <v>1.0059967948717949</v>
      </c>
    </row>
    <row r="44" spans="1:7">
      <c r="A44">
        <v>43</v>
      </c>
      <c r="B44" t="str" cm="1">
        <f t="array" ref="B44">IFERROR(INDEX('Warehouse Helper'!$A$2:$A$169,_xlfn.AGGREGATE(15,6,(ROW('Warehouse Helper'!$J$2:$J$169)-ROW('Warehouse Helper'!$J$2)+1)/('Warehouse Helper'!$J$2:$J$169&gt;0),ROWS($B$7:B44))),"")</f>
        <v>SKU PROD C</v>
      </c>
      <c r="C44" s="1" cm="1">
        <f t="array" ref="C44">IFERROR(INDEX('Warehouse Helper'!$B$2:$B$169,_xlfn.AGGREGATE(15,6,(ROW('Warehouse Helper'!$J$2:$J$169)-ROW('Warehouse Helper'!$J$2)+1)/('Warehouse Helper'!$J$2:$J$169&gt;0),ROWS($C$7:C44))),"")</f>
        <v>46212</v>
      </c>
      <c r="D44" cm="1">
        <f t="array" ref="D44">IFERROR(INDEX('Warehouse Helper'!$J$2:$J$169,_xlfn.AGGREGATE(15,6,(ROW('Warehouse Helper'!$J$2:$J$169)-ROW('Warehouse Helper'!$J$2)+1)/('Warehouse Helper'!$J$2:$J$169&gt;0),ROWS($D$7:D44))),"")</f>
        <v>1537</v>
      </c>
      <c r="E44" t="s">
        <v>30</v>
      </c>
      <c r="F44" s="1">
        <f t="shared" si="0"/>
        <v>46215</v>
      </c>
      <c r="G44" cm="1">
        <f t="array" ref="G44">_xlfn.LET(
_xlpm.skus,Capacity!$D$3:$D$7,
_xlpm.caps,Capacity!$B$3:$B$7,
SUM(
(
SUMIFS($D$2:$D$70,$B$2:$B$70,_xlpm.skus,$F$2:$F$70,"&lt;="&amp;F44)
-
SUMIFS('Demand Projection'!$D$2:$D$169,'Demand Projection'!$B$2:$B$169,_xlpm.skus,'Demand Projection'!$C$2:$C$169,"&lt;="&amp;F44)
)
/_xlpm.caps
)
)</f>
        <v>1.0898480769230769</v>
      </c>
    </row>
    <row r="45" spans="1:7">
      <c r="A45">
        <v>44</v>
      </c>
      <c r="B45" t="str" cm="1">
        <f t="array" ref="B45">IFERROR(INDEX('Warehouse Helper'!$A$2:$A$169,_xlfn.AGGREGATE(15,6,(ROW('Warehouse Helper'!$J$2:$J$169)-ROW('Warehouse Helper'!$J$2)+1)/('Warehouse Helper'!$J$2:$J$169&gt;0),ROWS($B$7:B45))),"")</f>
        <v>SKU PROD D</v>
      </c>
      <c r="C45" s="1" cm="1">
        <f t="array" ref="C45">IFERROR(INDEX('Warehouse Helper'!$B$2:$B$169,_xlfn.AGGREGATE(15,6,(ROW('Warehouse Helper'!$J$2:$J$169)-ROW('Warehouse Helper'!$J$2)+1)/('Warehouse Helper'!$J$2:$J$169&gt;0),ROWS($C$7:C45))),"")</f>
        <v>46231</v>
      </c>
      <c r="D45" cm="1">
        <f t="array" ref="D45">IFERROR(INDEX('Warehouse Helper'!$J$2:$J$169,_xlfn.AGGREGATE(15,6,(ROW('Warehouse Helper'!$J$2:$J$169)-ROW('Warehouse Helper'!$J$2)+1)/('Warehouse Helper'!$J$2:$J$169&gt;0),ROWS($D$7:D45))),"")</f>
        <v>4383</v>
      </c>
      <c r="E45" t="s">
        <v>30</v>
      </c>
      <c r="F45" s="1">
        <f t="shared" si="0"/>
        <v>46234</v>
      </c>
      <c r="G45" cm="1">
        <f t="array" ref="G45">_xlfn.LET(
_xlpm.skus,Capacity!$D$3:$D$7,
_xlpm.caps,Capacity!$B$3:$B$7,
SUM(
(
SUMIFS($D$2:$D$70,$B$2:$B$70,_xlpm.skus,$F$2:$F$70,"&lt;="&amp;F45)
-
SUMIFS('Demand Projection'!$D$2:$D$169,'Demand Projection'!$B$2:$B$169,_xlpm.skus,'Demand Projection'!$C$2:$C$169,"&lt;="&amp;F45)
)
/_xlpm.caps
)
)</f>
        <v>1.0230051282051282</v>
      </c>
    </row>
    <row r="46" spans="1:7">
      <c r="A46">
        <v>45</v>
      </c>
      <c r="B46" t="str" cm="1">
        <f t="array" ref="B46">IFERROR(INDEX('Warehouse Helper'!$A$2:$A$169,_xlfn.AGGREGATE(15,6,(ROW('Warehouse Helper'!$J$2:$J$169)-ROW('Warehouse Helper'!$J$2)+1)/('Warehouse Helper'!$J$2:$J$169&gt;0),ROWS($B$7:B46))),"")</f>
        <v>SKU PROD E</v>
      </c>
      <c r="C46" s="1" cm="1">
        <f t="array" ref="C46">IFERROR(INDEX('Warehouse Helper'!$B$2:$B$169,_xlfn.AGGREGATE(15,6,(ROW('Warehouse Helper'!$J$2:$J$169)-ROW('Warehouse Helper'!$J$2)+1)/('Warehouse Helper'!$J$2:$J$169&gt;0),ROWS($C$7:C46))),"")</f>
        <v>46231</v>
      </c>
      <c r="D46" cm="1">
        <f t="array" ref="D46">IFERROR(INDEX('Warehouse Helper'!$J$2:$J$169,_xlfn.AGGREGATE(15,6,(ROW('Warehouse Helper'!$J$2:$J$169)-ROW('Warehouse Helper'!$J$2)+1)/('Warehouse Helper'!$J$2:$J$169&gt;0),ROWS($D$7:D46))),"")</f>
        <v>2330</v>
      </c>
      <c r="E46" t="s">
        <v>30</v>
      </c>
      <c r="F46" s="1">
        <f t="shared" si="0"/>
        <v>46234</v>
      </c>
      <c r="G46" cm="1">
        <f t="array" ref="G46">_xlfn.LET(
_xlpm.skus,Capacity!$D$3:$D$7,
_xlpm.caps,Capacity!$B$3:$B$7,
SUM(
(
SUMIFS($D$2:$D$70,$B$2:$B$70,_xlpm.skus,$F$2:$F$70,"&lt;="&amp;F46)
-
SUMIFS('Demand Projection'!$D$2:$D$169,'Demand Projection'!$B$2:$B$169,_xlpm.skus,'Demand Projection'!$C$2:$C$169,"&lt;="&amp;F46)
)
/_xlpm.caps
)
)</f>
        <v>1.0230051282051282</v>
      </c>
    </row>
    <row r="47" spans="1:7">
      <c r="A47">
        <v>46</v>
      </c>
      <c r="B47" t="str" cm="1">
        <f t="array" ref="B47">IFERROR(INDEX('Warehouse Helper'!$A$2:$A$169,_xlfn.AGGREGATE(15,6,(ROW('Warehouse Helper'!$J$2:$J$169)-ROW('Warehouse Helper'!$J$2)+1)/('Warehouse Helper'!$J$2:$J$169&gt;0),ROWS($B$7:B47))),"")</f>
        <v>SKU PROD A</v>
      </c>
      <c r="C47" s="1" cm="1">
        <f t="array" ref="C47">IFERROR(INDEX('Warehouse Helper'!$B$2:$B$169,_xlfn.AGGREGATE(15,6,(ROW('Warehouse Helper'!$J$2:$J$169)-ROW('Warehouse Helper'!$J$2)+1)/('Warehouse Helper'!$J$2:$J$169&gt;0),ROWS($C$7:C47))),"")</f>
        <v>46238</v>
      </c>
      <c r="D47" cm="1">
        <f t="array" ref="D47">IFERROR(INDEX('Warehouse Helper'!$J$2:$J$169,_xlfn.AGGREGATE(15,6,(ROW('Warehouse Helper'!$J$2:$J$169)-ROW('Warehouse Helper'!$J$2)+1)/('Warehouse Helper'!$J$2:$J$169&gt;0),ROWS($D$7:D47))),"")</f>
        <v>2291</v>
      </c>
      <c r="E47" t="s">
        <v>30</v>
      </c>
      <c r="F47" s="1">
        <f t="shared" si="0"/>
        <v>46241</v>
      </c>
      <c r="G47" cm="1">
        <f t="array" ref="G47">_xlfn.LET(
_xlpm.skus,Capacity!$D$3:$D$7,
_xlpm.caps,Capacity!$B$3:$B$7,
SUM(
(
SUMIFS($D$2:$D$70,$B$2:$B$70,_xlpm.skus,$F$2:$F$70,"&lt;="&amp;F47)
-
SUMIFS('Demand Projection'!$D$2:$D$169,'Demand Projection'!$B$2:$B$169,_xlpm.skus,'Demand Projection'!$C$2:$C$169,"&lt;="&amp;F47)
)
/_xlpm.caps
)
)</f>
        <v>0.67878012820512823</v>
      </c>
    </row>
    <row r="48" spans="1:7">
      <c r="A48">
        <v>47</v>
      </c>
      <c r="B48" t="str" cm="1">
        <f t="array" ref="B48">IFERROR(INDEX('Warehouse Helper'!$A$2:$A$169,_xlfn.AGGREGATE(15,6,(ROW('Warehouse Helper'!$J$2:$J$169)-ROW('Warehouse Helper'!$J$2)+1)/('Warehouse Helper'!$J$2:$J$169&gt;0),ROWS($B$7:B48))),"")</f>
        <v>SKU PROD C</v>
      </c>
      <c r="C48" s="1" cm="1">
        <f t="array" ref="C48">IFERROR(INDEX('Warehouse Helper'!$B$2:$B$169,_xlfn.AGGREGATE(15,6,(ROW('Warehouse Helper'!$J$2:$J$169)-ROW('Warehouse Helper'!$J$2)+1)/('Warehouse Helper'!$J$2:$J$169&gt;0),ROWS($C$7:C48))),"")</f>
        <v>46239</v>
      </c>
      <c r="D48" cm="1">
        <f t="array" ref="D48">IFERROR(INDEX('Warehouse Helper'!$J$2:$J$169,_xlfn.AGGREGATE(15,6,(ROW('Warehouse Helper'!$J$2:$J$169)-ROW('Warehouse Helper'!$J$2)+1)/('Warehouse Helper'!$J$2:$J$169&gt;0),ROWS($D$7:D48))),"")</f>
        <v>1553</v>
      </c>
      <c r="E48" t="s">
        <v>30</v>
      </c>
      <c r="F48" s="1">
        <f t="shared" si="0"/>
        <v>46242</v>
      </c>
      <c r="G48" cm="1">
        <f t="array" ref="G48">_xlfn.LET(
_xlpm.skus,Capacity!$D$3:$D$7,
_xlpm.caps,Capacity!$B$3:$B$7,
SUM(
(
SUMIFS($D$2:$D$70,$B$2:$B$70,_xlpm.skus,$F$2:$F$70,"&lt;="&amp;F48)
-
SUMIFS('Demand Projection'!$D$2:$D$169,'Demand Projection'!$B$2:$B$169,_xlpm.skus,'Demand Projection'!$C$2:$C$169,"&lt;="&amp;F48)
)
/_xlpm.caps
)
)</f>
        <v>0.7823134615384616</v>
      </c>
    </row>
    <row r="49" spans="1:7">
      <c r="A49">
        <v>48</v>
      </c>
      <c r="B49" t="str" cm="1">
        <f t="array" ref="B49">IFERROR(INDEX('Warehouse Helper'!$A$2:$A$169,_xlfn.AGGREGATE(15,6,(ROW('Warehouse Helper'!$J$2:$J$169)-ROW('Warehouse Helper'!$J$2)+1)/('Warehouse Helper'!$J$2:$J$169&gt;0),ROWS($B$7:B49))),"")</f>
        <v>SKU PROD B</v>
      </c>
      <c r="C49" s="1" cm="1">
        <f t="array" ref="C49">IFERROR(INDEX('Warehouse Helper'!$B$2:$B$169,_xlfn.AGGREGATE(15,6,(ROW('Warehouse Helper'!$J$2:$J$169)-ROW('Warehouse Helper'!$J$2)+1)/('Warehouse Helper'!$J$2:$J$169&gt;0),ROWS($C$7:C49))),"")</f>
        <v>46247</v>
      </c>
      <c r="D49" cm="1">
        <f t="array" ref="D49">IFERROR(INDEX('Warehouse Helper'!$J$2:$J$169,_xlfn.AGGREGATE(15,6,(ROW('Warehouse Helper'!$J$2:$J$169)-ROW('Warehouse Helper'!$J$2)+1)/('Warehouse Helper'!$J$2:$J$169&gt;0),ROWS($D$7:D49))),"")</f>
        <v>6594</v>
      </c>
      <c r="E49" t="s">
        <v>30</v>
      </c>
      <c r="F49" s="1">
        <f t="shared" si="0"/>
        <v>46250</v>
      </c>
      <c r="G49" cm="1">
        <f t="array" ref="G49">_xlfn.LET(
_xlpm.skus,Capacity!$D$3:$D$7,
_xlpm.caps,Capacity!$B$3:$B$7,
SUM(
(
SUMIFS($D$2:$D$70,$B$2:$B$70,_xlpm.skus,$F$2:$F$70,"&lt;="&amp;F49)
-
SUMIFS('Demand Projection'!$D$2:$D$169,'Demand Projection'!$B$2:$B$169,_xlpm.skus,'Demand Projection'!$C$2:$C$169,"&lt;="&amp;F49)
)
/_xlpm.caps
)
)</f>
        <v>0.98053397435897438</v>
      </c>
    </row>
    <row r="50" spans="1:7">
      <c r="A50">
        <v>49</v>
      </c>
      <c r="B50" t="str" cm="1">
        <f t="array" ref="B50">IFERROR(INDEX('Warehouse Helper'!$A$2:$A$169,_xlfn.AGGREGATE(15,6,(ROW('Warehouse Helper'!$J$2:$J$169)-ROW('Warehouse Helper'!$J$2)+1)/('Warehouse Helper'!$J$2:$J$169&gt;0),ROWS($B$7:B50))),"")</f>
        <v>SKU PROD D</v>
      </c>
      <c r="C50" s="1" cm="1">
        <f t="array" ref="C50">IFERROR(INDEX('Warehouse Helper'!$B$2:$B$169,_xlfn.AGGREGATE(15,6,(ROW('Warehouse Helper'!$J$2:$J$169)-ROW('Warehouse Helper'!$J$2)+1)/('Warehouse Helper'!$J$2:$J$169&gt;0),ROWS($C$7:C50))),"")</f>
        <v>46262</v>
      </c>
      <c r="D50" cm="1">
        <f t="array" ref="D50">IFERROR(INDEX('Warehouse Helper'!$J$2:$J$169,_xlfn.AGGREGATE(15,6,(ROW('Warehouse Helper'!$J$2:$J$169)-ROW('Warehouse Helper'!$J$2)+1)/('Warehouse Helper'!$J$2:$J$169&gt;0),ROWS($D$7:D50))),"")</f>
        <v>4258</v>
      </c>
      <c r="E50" t="s">
        <v>30</v>
      </c>
      <c r="F50" s="1">
        <f t="shared" si="0"/>
        <v>46265</v>
      </c>
      <c r="G50" cm="1">
        <f t="array" ref="G50">_xlfn.LET(
_xlpm.skus,Capacity!$D$3:$D$7,
_xlpm.caps,Capacity!$B$3:$B$7,
SUM(
(
SUMIFS($D$2:$D$70,$B$2:$B$70,_xlpm.skus,$F$2:$F$70,"&lt;="&amp;F50)
-
SUMIFS('Demand Projection'!$D$2:$D$169,'Demand Projection'!$B$2:$B$169,_xlpm.skus,'Demand Projection'!$C$2:$C$169,"&lt;="&amp;F50)
)
/_xlpm.caps
)
)</f>
        <v>0.94223846153846147</v>
      </c>
    </row>
    <row r="51" spans="1:7">
      <c r="A51">
        <v>50</v>
      </c>
      <c r="B51" t="str" cm="1">
        <f t="array" ref="B51">IFERROR(INDEX('Warehouse Helper'!$A$2:$A$169,_xlfn.AGGREGATE(15,6,(ROW('Warehouse Helper'!$J$2:$J$169)-ROW('Warehouse Helper'!$J$2)+1)/('Warehouse Helper'!$J$2:$J$169&gt;0),ROWS($B$7:B51))),"")</f>
        <v>SKU PROD E</v>
      </c>
      <c r="C51" s="1" cm="1">
        <f t="array" ref="C51">IFERROR(INDEX('Warehouse Helper'!$B$2:$B$169,_xlfn.AGGREGATE(15,6,(ROW('Warehouse Helper'!$J$2:$J$169)-ROW('Warehouse Helper'!$J$2)+1)/('Warehouse Helper'!$J$2:$J$169&gt;0),ROWS($C$7:C51))),"")</f>
        <v>46262</v>
      </c>
      <c r="D51" cm="1">
        <f t="array" ref="D51">IFERROR(INDEX('Warehouse Helper'!$J$2:$J$169,_xlfn.AGGREGATE(15,6,(ROW('Warehouse Helper'!$J$2:$J$169)-ROW('Warehouse Helper'!$J$2)+1)/('Warehouse Helper'!$J$2:$J$169&gt;0),ROWS($D$7:D51))),"")</f>
        <v>2336</v>
      </c>
      <c r="E51" t="s">
        <v>30</v>
      </c>
      <c r="F51" s="1">
        <f t="shared" si="0"/>
        <v>46265</v>
      </c>
      <c r="G51" cm="1">
        <f t="array" ref="G51">_xlfn.LET(
_xlpm.skus,Capacity!$D$3:$D$7,
_xlpm.caps,Capacity!$B$3:$B$7,
SUM(
(
SUMIFS($D$2:$D$70,$B$2:$B$70,_xlpm.skus,$F$2:$F$70,"&lt;="&amp;F51)
-
SUMIFS('Demand Projection'!$D$2:$D$169,'Demand Projection'!$B$2:$B$169,_xlpm.skus,'Demand Projection'!$C$2:$C$169,"&lt;="&amp;F51)
)
/_xlpm.caps
)
)</f>
        <v>0.94223846153846147</v>
      </c>
    </row>
    <row r="52" spans="1:7">
      <c r="A52">
        <v>51</v>
      </c>
      <c r="B52" t="str" cm="1">
        <f t="array" ref="B52">IFERROR(INDEX('Warehouse Helper'!$A$2:$A$169,_xlfn.AGGREGATE(15,6,(ROW('Warehouse Helper'!$J$2:$J$169)-ROW('Warehouse Helper'!$J$2)+1)/('Warehouse Helper'!$J$2:$J$169&gt;0),ROWS($B$7:B52))),"")</f>
        <v>SKU PROD A</v>
      </c>
      <c r="C52" s="1" cm="1">
        <f t="array" ref="C52">IFERROR(INDEX('Warehouse Helper'!$B$2:$B$169,_xlfn.AGGREGATE(15,6,(ROW('Warehouse Helper'!$J$2:$J$169)-ROW('Warehouse Helper'!$J$2)+1)/('Warehouse Helper'!$J$2:$J$169&gt;0),ROWS($C$7:C52))),"")</f>
        <v>46268</v>
      </c>
      <c r="D52" cm="1">
        <f t="array" ref="D52">IFERROR(INDEX('Warehouse Helper'!$J$2:$J$169,_xlfn.AGGREGATE(15,6,(ROW('Warehouse Helper'!$J$2:$J$169)-ROW('Warehouse Helper'!$J$2)+1)/('Warehouse Helper'!$J$2:$J$169&gt;0),ROWS($D$7:D52))),"")</f>
        <v>2563</v>
      </c>
      <c r="E52" t="s">
        <v>30</v>
      </c>
      <c r="F52" s="1">
        <f t="shared" si="0"/>
        <v>46271</v>
      </c>
      <c r="G52" cm="1">
        <f t="array" ref="G52">_xlfn.LET(
_xlpm.skus,Capacity!$D$3:$D$7,
_xlpm.caps,Capacity!$B$3:$B$7,
SUM(
(
SUMIFS($D$2:$D$70,$B$2:$B$70,_xlpm.skus,$F$2:$F$70,"&lt;="&amp;F52)
-
SUMIFS('Demand Projection'!$D$2:$D$169,'Demand Projection'!$B$2:$B$169,_xlpm.skus,'Demand Projection'!$C$2:$C$169,"&lt;="&amp;F52)
)
/_xlpm.caps
)
)</f>
        <v>0.79029346153846158</v>
      </c>
    </row>
    <row r="53" spans="1:7">
      <c r="A53">
        <v>52</v>
      </c>
      <c r="B53" t="str" cm="1">
        <f t="array" ref="B53">IFERROR(INDEX('Warehouse Helper'!$A$2:$A$169,_xlfn.AGGREGATE(15,6,(ROW('Warehouse Helper'!$J$2:$J$169)-ROW('Warehouse Helper'!$J$2)+1)/('Warehouse Helper'!$J$2:$J$169&gt;0),ROWS($B$7:B53))),"")</f>
        <v>SKU PROD A</v>
      </c>
      <c r="C53" s="1" cm="1">
        <f t="array" ref="C53">IFERROR(INDEX('Warehouse Helper'!$B$2:$B$169,_xlfn.AGGREGATE(15,6,(ROW('Warehouse Helper'!$J$2:$J$169)-ROW('Warehouse Helper'!$J$2)+1)/('Warehouse Helper'!$J$2:$J$169&gt;0),ROWS($C$7:C53))),"")</f>
        <v>46269</v>
      </c>
      <c r="D53" cm="1">
        <f t="array" ref="D53">IFERROR(INDEX('Warehouse Helper'!$J$2:$J$169,_xlfn.AGGREGATE(15,6,(ROW('Warehouse Helper'!$J$2:$J$169)-ROW('Warehouse Helper'!$J$2)+1)/('Warehouse Helper'!$J$2:$J$169&gt;0),ROWS($D$7:D53))),"")</f>
        <v>2881</v>
      </c>
      <c r="E53" t="s">
        <v>30</v>
      </c>
      <c r="F53" s="1">
        <f t="shared" si="0"/>
        <v>46272</v>
      </c>
      <c r="G53" cm="1">
        <f t="array" ref="G53">_xlfn.LET(
_xlpm.skus,Capacity!$D$3:$D$7,
_xlpm.caps,Capacity!$B$3:$B$7,
SUM(
(
SUMIFS($D$2:$D$70,$B$2:$B$70,_xlpm.skus,$F$2:$F$70,"&lt;="&amp;F53)
-
SUMIFS('Demand Projection'!$D$2:$D$169,'Demand Projection'!$B$2:$B$169,_xlpm.skus,'Demand Projection'!$C$2:$C$169,"&lt;="&amp;F53)
)
/_xlpm.caps
)
)</f>
        <v>0.99909346153846157</v>
      </c>
    </row>
    <row r="54" spans="1:7">
      <c r="A54">
        <v>53</v>
      </c>
      <c r="B54" t="str" cm="1">
        <f t="array" ref="B54">IFERROR(INDEX('Warehouse Helper'!$A$2:$A$169,_xlfn.AGGREGATE(15,6,(ROW('Warehouse Helper'!$J$2:$J$169)-ROW('Warehouse Helper'!$J$2)+1)/('Warehouse Helper'!$J$2:$J$169&gt;0),ROWS($B$7:B54))),"")</f>
        <v>SKU PROD C</v>
      </c>
      <c r="C54" s="1" cm="1">
        <f t="array" ref="C54">IFERROR(INDEX('Warehouse Helper'!$B$2:$B$169,_xlfn.AGGREGATE(15,6,(ROW('Warehouse Helper'!$J$2:$J$169)-ROW('Warehouse Helper'!$J$2)+1)/('Warehouse Helper'!$J$2:$J$169&gt;0),ROWS($C$7:C54))),"")</f>
        <v>46270</v>
      </c>
      <c r="D54" cm="1">
        <f t="array" ref="D54">IFERROR(INDEX('Warehouse Helper'!$J$2:$J$169,_xlfn.AGGREGATE(15,6,(ROW('Warehouse Helper'!$J$2:$J$169)-ROW('Warehouse Helper'!$J$2)+1)/('Warehouse Helper'!$J$2:$J$169&gt;0),ROWS($D$7:D54))),"")</f>
        <v>1788</v>
      </c>
      <c r="E54" t="s">
        <v>30</v>
      </c>
      <c r="F54" s="1">
        <f t="shared" si="0"/>
        <v>46273</v>
      </c>
      <c r="G54" cm="1">
        <f t="array" ref="G54">_xlfn.LET(
_xlpm.skus,Capacity!$D$3:$D$7,
_xlpm.caps,Capacity!$B$3:$B$7,
SUM(
(
SUMIFS($D$2:$D$70,$B$2:$B$70,_xlpm.skus,$F$2:$F$70,"&lt;="&amp;F54)
-
SUMIFS('Demand Projection'!$D$2:$D$169,'Demand Projection'!$B$2:$B$169,_xlpm.skus,'Demand Projection'!$C$2:$C$169,"&lt;="&amp;F54)
)
/_xlpm.caps
)
)</f>
        <v>1.1182934615384614</v>
      </c>
    </row>
    <row r="55" spans="1:7">
      <c r="A55">
        <v>54</v>
      </c>
      <c r="B55" t="str" cm="1">
        <f t="array" ref="B55">IFERROR(INDEX('Warehouse Helper'!$A$2:$A$169,_xlfn.AGGREGATE(15,6,(ROW('Warehouse Helper'!$J$2:$J$169)-ROW('Warehouse Helper'!$J$2)+1)/('Warehouse Helper'!$J$2:$J$169&gt;0),ROWS($B$7:B55))),"")</f>
        <v>SKU PROD D</v>
      </c>
      <c r="C55" s="1" cm="1">
        <f t="array" ref="C55">IFERROR(INDEX('Warehouse Helper'!$B$2:$B$169,_xlfn.AGGREGATE(15,6,(ROW('Warehouse Helper'!$J$2:$J$169)-ROW('Warehouse Helper'!$J$2)+1)/('Warehouse Helper'!$J$2:$J$169&gt;0),ROWS($C$7:C55))),"")</f>
        <v>46293</v>
      </c>
      <c r="D55" cm="1">
        <f t="array" ref="D55">IFERROR(INDEX('Warehouse Helper'!$J$2:$J$169,_xlfn.AGGREGATE(15,6,(ROW('Warehouse Helper'!$J$2:$J$169)-ROW('Warehouse Helper'!$J$2)+1)/('Warehouse Helper'!$J$2:$J$169&gt;0),ROWS($D$7:D55))),"")</f>
        <v>4168</v>
      </c>
      <c r="E55" t="s">
        <v>30</v>
      </c>
      <c r="F55" s="1">
        <f t="shared" si="0"/>
        <v>46296</v>
      </c>
      <c r="G55" cm="1">
        <f t="array" ref="G55">_xlfn.LET(
_xlpm.skus,Capacity!$D$3:$D$7,
_xlpm.caps,Capacity!$B$3:$B$7,
SUM(
(
SUMIFS($D$2:$D$70,$B$2:$B$70,_xlpm.skus,$F$2:$F$70,"&lt;="&amp;F55)
-
SUMIFS('Demand Projection'!$D$2:$D$169,'Demand Projection'!$B$2:$B$169,_xlpm.skus,'Demand Projection'!$C$2:$C$169,"&lt;="&amp;F55)
)
/_xlpm.caps
)
)</f>
        <v>1.0299517948717949</v>
      </c>
    </row>
    <row r="56" spans="1:7">
      <c r="A56">
        <v>55</v>
      </c>
      <c r="B56" t="str" cm="1">
        <f t="array" ref="B56">IFERROR(INDEX('Warehouse Helper'!$A$2:$A$169,_xlfn.AGGREGATE(15,6,(ROW('Warehouse Helper'!$J$2:$J$169)-ROW('Warehouse Helper'!$J$2)+1)/('Warehouse Helper'!$J$2:$J$169&gt;0),ROWS($B$7:B56))),"")</f>
        <v>SKU PROD E</v>
      </c>
      <c r="C56" s="1" cm="1">
        <f t="array" ref="C56">IFERROR(INDEX('Warehouse Helper'!$B$2:$B$169,_xlfn.AGGREGATE(15,6,(ROW('Warehouse Helper'!$J$2:$J$169)-ROW('Warehouse Helper'!$J$2)+1)/('Warehouse Helper'!$J$2:$J$169&gt;0),ROWS($C$7:C56))),"")</f>
        <v>46293</v>
      </c>
      <c r="D56" cm="1">
        <f t="array" ref="D56">IFERROR(INDEX('Warehouse Helper'!$J$2:$J$169,_xlfn.AGGREGATE(15,6,(ROW('Warehouse Helper'!$J$2:$J$169)-ROW('Warehouse Helper'!$J$2)+1)/('Warehouse Helper'!$J$2:$J$169&gt;0),ROWS($D$7:D56))),"")</f>
        <v>2351</v>
      </c>
      <c r="E56" t="s">
        <v>30</v>
      </c>
      <c r="F56" s="1">
        <f t="shared" si="0"/>
        <v>46296</v>
      </c>
      <c r="G56" cm="1">
        <f t="array" ref="G56">_xlfn.LET(
_xlpm.skus,Capacity!$D$3:$D$7,
_xlpm.caps,Capacity!$B$3:$B$7,
SUM(
(
SUMIFS($D$2:$D$70,$B$2:$B$70,_xlpm.skus,$F$2:$F$70,"&lt;="&amp;F56)
-
SUMIFS('Demand Projection'!$D$2:$D$169,'Demand Projection'!$B$2:$B$169,_xlpm.skus,'Demand Projection'!$C$2:$C$169,"&lt;="&amp;F56)
)
/_xlpm.caps
)
)</f>
        <v>1.0299517948717949</v>
      </c>
    </row>
    <row r="57" spans="1:7">
      <c r="A57">
        <v>56</v>
      </c>
      <c r="B57" t="str" cm="1">
        <f t="array" ref="B57">IFERROR(INDEX('Warehouse Helper'!$A$2:$A$169,_xlfn.AGGREGATE(15,6,(ROW('Warehouse Helper'!$J$2:$J$169)-ROW('Warehouse Helper'!$J$2)+1)/('Warehouse Helper'!$J$2:$J$169&gt;0),ROWS($B$7:B57))),"")</f>
        <v>SKU PROD B</v>
      </c>
      <c r="C57" s="1" cm="1">
        <f t="array" ref="C57">IFERROR(INDEX('Warehouse Helper'!$B$2:$B$169,_xlfn.AGGREGATE(15,6,(ROW('Warehouse Helper'!$J$2:$J$169)-ROW('Warehouse Helper'!$J$2)+1)/('Warehouse Helper'!$J$2:$J$169&gt;0),ROWS($C$7:C57))),"")</f>
        <v>46298</v>
      </c>
      <c r="D57" cm="1">
        <f t="array" ref="D57">IFERROR(INDEX('Warehouse Helper'!$J$2:$J$169,_xlfn.AGGREGATE(15,6,(ROW('Warehouse Helper'!$J$2:$J$169)-ROW('Warehouse Helper'!$J$2)+1)/('Warehouse Helper'!$J$2:$J$169&gt;0),ROWS($D$7:D57))),"")</f>
        <v>9417</v>
      </c>
      <c r="E57" t="s">
        <v>30</v>
      </c>
      <c r="F57" s="1">
        <f t="shared" si="0"/>
        <v>46301</v>
      </c>
      <c r="G57" cm="1">
        <f t="array" ref="G57">_xlfn.LET(
_xlpm.skus,Capacity!$D$3:$D$7,
_xlpm.caps,Capacity!$B$3:$B$7,
SUM(
(
SUMIFS($D$2:$D$70,$B$2:$B$70,_xlpm.skus,$F$2:$F$70,"&lt;="&amp;F57)
-
SUMIFS('Demand Projection'!$D$2:$D$169,'Demand Projection'!$B$2:$B$169,_xlpm.skus,'Demand Projection'!$C$2:$C$169,"&lt;="&amp;F57)
)
/_xlpm.caps
)
)</f>
        <v>1.0389551282051281</v>
      </c>
    </row>
    <row r="58" spans="1:7">
      <c r="A58">
        <v>57</v>
      </c>
      <c r="B58" t="str" cm="1">
        <f t="array" ref="B58">IFERROR(INDEX('Warehouse Helper'!$A$2:$A$169,_xlfn.AGGREGATE(15,6,(ROW('Warehouse Helper'!$J$2:$J$169)-ROW('Warehouse Helper'!$J$2)+1)/('Warehouse Helper'!$J$2:$J$169&gt;0),ROWS($B$7:B58))),"")</f>
        <v>SKU PROD C</v>
      </c>
      <c r="C58" s="1" cm="1">
        <f t="array" ref="C58">IFERROR(INDEX('Warehouse Helper'!$B$2:$B$169,_xlfn.AGGREGATE(15,6,(ROW('Warehouse Helper'!$J$2:$J$169)-ROW('Warehouse Helper'!$J$2)+1)/('Warehouse Helper'!$J$2:$J$169&gt;0),ROWS($C$7:C58))),"")</f>
        <v>46300</v>
      </c>
      <c r="D58" cm="1">
        <f t="array" ref="D58">IFERROR(INDEX('Warehouse Helper'!$J$2:$J$169,_xlfn.AGGREGATE(15,6,(ROW('Warehouse Helper'!$J$2:$J$169)-ROW('Warehouse Helper'!$J$2)+1)/('Warehouse Helper'!$J$2:$J$169&gt;0),ROWS($D$7:D58))),"")</f>
        <v>1556</v>
      </c>
      <c r="E58" t="s">
        <v>30</v>
      </c>
      <c r="F58" s="1">
        <f t="shared" si="0"/>
        <v>46303</v>
      </c>
      <c r="G58" cm="1">
        <f t="array" ref="G58">_xlfn.LET(
_xlpm.skus,Capacity!$D$3:$D$7,
_xlpm.caps,Capacity!$B$3:$B$7,
SUM(
(
SUMIFS($D$2:$D$70,$B$2:$B$70,_xlpm.skus,$F$2:$F$70,"&lt;="&amp;F58)
-
SUMIFS('Demand Projection'!$D$2:$D$169,'Demand Projection'!$B$2:$B$169,_xlpm.skus,'Demand Projection'!$C$2:$C$169,"&lt;="&amp;F58)
)
/_xlpm.caps
)
)</f>
        <v>1.0712884615384615</v>
      </c>
    </row>
    <row r="59" spans="1:7">
      <c r="A59">
        <v>58</v>
      </c>
      <c r="B59" t="str" cm="1">
        <f t="array" ref="B59">IFERROR(INDEX('Warehouse Helper'!$A$2:$A$169,_xlfn.AGGREGATE(15,6,(ROW('Warehouse Helper'!$J$2:$J$169)-ROW('Warehouse Helper'!$J$2)+1)/('Warehouse Helper'!$J$2:$J$169&gt;0),ROWS($B$7:B59))),"")</f>
        <v>SKU PROD D</v>
      </c>
      <c r="C59" s="1" cm="1">
        <f t="array" ref="C59">IFERROR(INDEX('Warehouse Helper'!$B$2:$B$169,_xlfn.AGGREGATE(15,6,(ROW('Warehouse Helper'!$J$2:$J$169)-ROW('Warehouse Helper'!$J$2)+1)/('Warehouse Helper'!$J$2:$J$169&gt;0),ROWS($C$7:C59))),"")</f>
        <v>46323</v>
      </c>
      <c r="D59" cm="1">
        <f t="array" ref="D59">IFERROR(INDEX('Warehouse Helper'!$J$2:$J$169,_xlfn.AGGREGATE(15,6,(ROW('Warehouse Helper'!$J$2:$J$169)-ROW('Warehouse Helper'!$J$2)+1)/('Warehouse Helper'!$J$2:$J$169&gt;0),ROWS($D$7:D59))),"")</f>
        <v>3937</v>
      </c>
      <c r="E59" t="s">
        <v>30</v>
      </c>
      <c r="F59" s="1">
        <f t="shared" si="0"/>
        <v>46326</v>
      </c>
      <c r="G59" cm="1">
        <f t="array" ref="G59">_xlfn.LET(
_xlpm.skus,Capacity!$D$3:$D$7,
_xlpm.caps,Capacity!$B$3:$B$7,
SUM(
(
SUMIFS($D$2:$D$70,$B$2:$B$70,_xlpm.skus,$F$2:$F$70,"&lt;="&amp;F59)
-
SUMIFS('Demand Projection'!$D$2:$D$169,'Demand Projection'!$B$2:$B$169,_xlpm.skus,'Demand Projection'!$C$2:$C$169,"&lt;="&amp;F59)
)
/_xlpm.caps
)
)</f>
        <v>0.98559846153846153</v>
      </c>
    </row>
    <row r="60" spans="1:7">
      <c r="A60">
        <v>59</v>
      </c>
      <c r="B60" t="str" cm="1">
        <f t="array" ref="B60">IFERROR(INDEX('Warehouse Helper'!$A$2:$A$169,_xlfn.AGGREGATE(15,6,(ROW('Warehouse Helper'!$J$2:$J$169)-ROW('Warehouse Helper'!$J$2)+1)/('Warehouse Helper'!$J$2:$J$169&gt;0),ROWS($B$7:B60))),"")</f>
        <v>SKU PROD E</v>
      </c>
      <c r="C60" s="1" cm="1">
        <f t="array" ref="C60">IFERROR(INDEX('Warehouse Helper'!$B$2:$B$169,_xlfn.AGGREGATE(15,6,(ROW('Warehouse Helper'!$J$2:$J$169)-ROW('Warehouse Helper'!$J$2)+1)/('Warehouse Helper'!$J$2:$J$169&gt;0),ROWS($C$7:C60))),"")</f>
        <v>46323</v>
      </c>
      <c r="D60" cm="1">
        <f t="array" ref="D60">IFERROR(INDEX('Warehouse Helper'!$J$2:$J$169,_xlfn.AGGREGATE(15,6,(ROW('Warehouse Helper'!$J$2:$J$169)-ROW('Warehouse Helper'!$J$2)+1)/('Warehouse Helper'!$J$2:$J$169&gt;0),ROWS($D$7:D60))),"")</f>
        <v>2234</v>
      </c>
      <c r="E60" t="s">
        <v>30</v>
      </c>
      <c r="F60" s="1">
        <f t="shared" si="0"/>
        <v>46326</v>
      </c>
      <c r="G60" cm="1">
        <f t="array" ref="G60">_xlfn.LET(
_xlpm.skus,Capacity!$D$3:$D$7,
_xlpm.caps,Capacity!$B$3:$B$7,
SUM(
(
SUMIFS($D$2:$D$70,$B$2:$B$70,_xlpm.skus,$F$2:$F$70,"&lt;="&amp;F60)
-
SUMIFS('Demand Projection'!$D$2:$D$169,'Demand Projection'!$B$2:$B$169,_xlpm.skus,'Demand Projection'!$C$2:$C$169,"&lt;="&amp;F60)
)
/_xlpm.caps
)
)</f>
        <v>0.98559846153846153</v>
      </c>
    </row>
    <row r="61" spans="1:7">
      <c r="A61">
        <v>60</v>
      </c>
      <c r="B61" t="str" cm="1">
        <f t="array" ref="B61">IFERROR(INDEX('Warehouse Helper'!$A$2:$A$169,_xlfn.AGGREGATE(15,6,(ROW('Warehouse Helper'!$J$2:$J$169)-ROW('Warehouse Helper'!$J$2)+1)/('Warehouse Helper'!$J$2:$J$169&gt;0),ROWS($B$7:B61))),"")</f>
        <v>SKU PROD A</v>
      </c>
      <c r="C61" s="1" cm="1">
        <f t="array" ref="C61">IFERROR(INDEX('Warehouse Helper'!$B$2:$B$169,_xlfn.AGGREGATE(15,6,(ROW('Warehouse Helper'!$J$2:$J$169)-ROW('Warehouse Helper'!$J$2)+1)/('Warehouse Helper'!$J$2:$J$169&gt;0),ROWS($C$7:C61))),"")</f>
        <v>46329</v>
      </c>
      <c r="D61" cm="1">
        <f t="array" ref="D61">IFERROR(INDEX('Warehouse Helper'!$J$2:$J$169,_xlfn.AGGREGATE(15,6,(ROW('Warehouse Helper'!$J$2:$J$169)-ROW('Warehouse Helper'!$J$2)+1)/('Warehouse Helper'!$J$2:$J$169&gt;0),ROWS($D$7:D61))),"")</f>
        <v>2136</v>
      </c>
      <c r="E61" t="s">
        <v>30</v>
      </c>
      <c r="F61" s="1">
        <f t="shared" si="0"/>
        <v>46332</v>
      </c>
      <c r="G61" cm="1">
        <f t="array" ref="G61">_xlfn.LET(
_xlpm.skus,Capacity!$D$3:$D$7,
_xlpm.caps,Capacity!$B$3:$B$7,
SUM(
(
SUMIFS($D$2:$D$70,$B$2:$B$70,_xlpm.skus,$F$2:$F$70,"&lt;="&amp;F61)
-
SUMIFS('Demand Projection'!$D$2:$D$169,'Demand Projection'!$B$2:$B$169,_xlpm.skus,'Demand Projection'!$C$2:$C$169,"&lt;="&amp;F61)
)
/_xlpm.caps
)
)</f>
        <v>0.78720179487179487</v>
      </c>
    </row>
    <row r="62" spans="1:7">
      <c r="A62">
        <v>61</v>
      </c>
      <c r="B62" t="str" cm="1">
        <f t="array" ref="B62">IFERROR(INDEX('Warehouse Helper'!$A$2:$A$169,_xlfn.AGGREGATE(15,6,(ROW('Warehouse Helper'!$J$2:$J$169)-ROW('Warehouse Helper'!$J$2)+1)/('Warehouse Helper'!$J$2:$J$169&gt;0),ROWS($B$7:B62))),"")</f>
        <v>SKU PROD A</v>
      </c>
      <c r="C62" s="1" cm="1">
        <f t="array" ref="C62">IFERROR(INDEX('Warehouse Helper'!$B$2:$B$169,_xlfn.AGGREGATE(15,6,(ROW('Warehouse Helper'!$J$2:$J$169)-ROW('Warehouse Helper'!$J$2)+1)/('Warehouse Helper'!$J$2:$J$169&gt;0),ROWS($C$7:C62))),"")</f>
        <v>46330</v>
      </c>
      <c r="D62" cm="1">
        <f t="array" ref="D62">IFERROR(INDEX('Warehouse Helper'!$J$2:$J$169,_xlfn.AGGREGATE(15,6,(ROW('Warehouse Helper'!$J$2:$J$169)-ROW('Warehouse Helper'!$J$2)+1)/('Warehouse Helper'!$J$2:$J$169&gt;0),ROWS($D$7:D62))),"")</f>
        <v>2458</v>
      </c>
      <c r="E62" t="s">
        <v>30</v>
      </c>
      <c r="F62" s="1">
        <f t="shared" si="0"/>
        <v>46333</v>
      </c>
      <c r="G62" cm="1">
        <f t="array" ref="G62">_xlfn.LET(
_xlpm.skus,Capacity!$D$3:$D$7,
_xlpm.caps,Capacity!$B$3:$B$7,
SUM(
(
SUMIFS($D$2:$D$70,$B$2:$B$70,_xlpm.skus,$F$2:$F$70,"&lt;="&amp;F62)
-
SUMIFS('Demand Projection'!$D$2:$D$169,'Demand Projection'!$B$2:$B$169,_xlpm.skus,'Demand Projection'!$C$2:$C$169,"&lt;="&amp;F62)
)
/_xlpm.caps
)
)</f>
        <v>0.95300179487179493</v>
      </c>
    </row>
    <row r="63" spans="1:7">
      <c r="A63">
        <v>62</v>
      </c>
      <c r="B63" t="str" cm="1">
        <f t="array" ref="B63">IFERROR(INDEX('Warehouse Helper'!$A$2:$A$169,_xlfn.AGGREGATE(15,6,(ROW('Warehouse Helper'!$J$2:$J$169)-ROW('Warehouse Helper'!$J$2)+1)/('Warehouse Helper'!$J$2:$J$169&gt;0),ROWS($B$7:B63))),"")</f>
        <v>SKU PROD C</v>
      </c>
      <c r="C63" s="1" cm="1">
        <f t="array" ref="C63">IFERROR(INDEX('Warehouse Helper'!$B$2:$B$169,_xlfn.AGGREGATE(15,6,(ROW('Warehouse Helper'!$J$2:$J$169)-ROW('Warehouse Helper'!$J$2)+1)/('Warehouse Helper'!$J$2:$J$169&gt;0),ROWS($C$7:C63))),"")</f>
        <v>46331</v>
      </c>
      <c r="D63" cm="1">
        <f t="array" ref="D63">IFERROR(INDEX('Warehouse Helper'!$J$2:$J$169,_xlfn.AGGREGATE(15,6,(ROW('Warehouse Helper'!$J$2:$J$169)-ROW('Warehouse Helper'!$J$2)+1)/('Warehouse Helper'!$J$2:$J$169&gt;0),ROWS($D$7:D63))),"")</f>
        <v>1570</v>
      </c>
      <c r="E63" t="s">
        <v>30</v>
      </c>
      <c r="F63" s="1">
        <f t="shared" si="0"/>
        <v>46334</v>
      </c>
      <c r="G63" cm="1">
        <f t="array" ref="G63">_xlfn.LET(
_xlpm.skus,Capacity!$D$3:$D$7,
_xlpm.caps,Capacity!$B$3:$B$7,
SUM(
(
SUMIFS($D$2:$D$70,$B$2:$B$70,_xlpm.skus,$F$2:$F$70,"&lt;="&amp;F63)
-
SUMIFS('Demand Projection'!$D$2:$D$169,'Demand Projection'!$B$2:$B$169,_xlpm.skus,'Demand Projection'!$C$2:$C$169,"&lt;="&amp;F63)
)
/_xlpm.caps
)
)</f>
        <v>1.0576684615384615</v>
      </c>
    </row>
    <row r="64" spans="1:7">
      <c r="A64">
        <v>63</v>
      </c>
      <c r="B64" t="str" cm="1">
        <f t="array" ref="B64">IFERROR(INDEX('Warehouse Helper'!$A$2:$A$169,_xlfn.AGGREGATE(15,6,(ROW('Warehouse Helper'!$J$2:$J$169)-ROW('Warehouse Helper'!$J$2)+1)/('Warehouse Helper'!$J$2:$J$169&gt;0),ROWS($B$7:B64))),"")</f>
        <v>SKU PROD D</v>
      </c>
      <c r="C64" s="1" cm="1">
        <f t="array" ref="C64">IFERROR(INDEX('Warehouse Helper'!$B$2:$B$169,_xlfn.AGGREGATE(15,6,(ROW('Warehouse Helper'!$J$2:$J$169)-ROW('Warehouse Helper'!$J$2)+1)/('Warehouse Helper'!$J$2:$J$169&gt;0),ROWS($C$7:C64))),"")</f>
        <v>46354</v>
      </c>
      <c r="D64" cm="1">
        <f t="array" ref="D64">IFERROR(INDEX('Warehouse Helper'!$J$2:$J$169,_xlfn.AGGREGATE(15,6,(ROW('Warehouse Helper'!$J$2:$J$169)-ROW('Warehouse Helper'!$J$2)+1)/('Warehouse Helper'!$J$2:$J$169&gt;0),ROWS($D$7:D64))),"")</f>
        <v>4200</v>
      </c>
      <c r="E64" t="s">
        <v>30</v>
      </c>
      <c r="F64" s="1">
        <f t="shared" si="0"/>
        <v>46357</v>
      </c>
      <c r="G64" cm="1">
        <f t="array" ref="G64">_xlfn.LET(
_xlpm.skus,Capacity!$D$3:$D$7,
_xlpm.caps,Capacity!$B$3:$B$7,
SUM(
(
SUMIFS($D$2:$D$70,$B$2:$B$70,_xlpm.skus,$F$2:$F$70,"&lt;="&amp;F64)
-
SUMIFS('Demand Projection'!$D$2:$D$169,'Demand Projection'!$B$2:$B$169,_xlpm.skus,'Demand Projection'!$C$2:$C$169,"&lt;="&amp;F64)
)
/_xlpm.caps
)
)</f>
        <v>0.96859179487179492</v>
      </c>
    </row>
    <row r="65" spans="1:7">
      <c r="A65">
        <v>64</v>
      </c>
      <c r="B65" t="str" cm="1">
        <f t="array" ref="B65">IFERROR(INDEX('Warehouse Helper'!$A$2:$A$169,_xlfn.AGGREGATE(15,6,(ROW('Warehouse Helper'!$J$2:$J$169)-ROW('Warehouse Helper'!$J$2)+1)/('Warehouse Helper'!$J$2:$J$169&gt;0),ROWS($B$7:B65))),"")</f>
        <v>SKU PROD E</v>
      </c>
      <c r="C65" s="1" cm="1">
        <f t="array" ref="C65">IFERROR(INDEX('Warehouse Helper'!$B$2:$B$169,_xlfn.AGGREGATE(15,6,(ROW('Warehouse Helper'!$J$2:$J$169)-ROW('Warehouse Helper'!$J$2)+1)/('Warehouse Helper'!$J$2:$J$169&gt;0),ROWS($C$7:C65))),"")</f>
        <v>46354</v>
      </c>
      <c r="D65" cm="1">
        <f t="array" ref="D65">IFERROR(INDEX('Warehouse Helper'!$J$2:$J$169,_xlfn.AGGREGATE(15,6,(ROW('Warehouse Helper'!$J$2:$J$169)-ROW('Warehouse Helper'!$J$2)+1)/('Warehouse Helper'!$J$2:$J$169&gt;0),ROWS($D$7:D65))),"")</f>
        <v>2384</v>
      </c>
      <c r="E65" t="s">
        <v>30</v>
      </c>
      <c r="F65" s="1">
        <f t="shared" si="0"/>
        <v>46357</v>
      </c>
      <c r="G65" cm="1">
        <f t="array" ref="G65">_xlfn.LET(
_xlpm.skus,Capacity!$D$3:$D$7,
_xlpm.caps,Capacity!$B$3:$B$7,
SUM(
(
SUMIFS($D$2:$D$70,$B$2:$B$70,_xlpm.skus,$F$2:$F$70,"&lt;="&amp;F65)
-
SUMIFS('Demand Projection'!$D$2:$D$169,'Demand Projection'!$B$2:$B$169,_xlpm.skus,'Demand Projection'!$C$2:$C$169,"&lt;="&amp;F65)
)
/_xlpm.caps
)
)</f>
        <v>0.96859179487179492</v>
      </c>
    </row>
    <row r="66" spans="1:7">
      <c r="A66">
        <v>65</v>
      </c>
      <c r="B66" t="str" cm="1">
        <f t="array" ref="B66">IFERROR(INDEX('Warehouse Helper'!$A$2:$A$169,_xlfn.AGGREGATE(15,6,(ROW('Warehouse Helper'!$J$2:$J$169)-ROW('Warehouse Helper'!$J$2)+1)/('Warehouse Helper'!$J$2:$J$169&gt;0),ROWS($B$7:B66))),"")</f>
        <v>SKU PROD B</v>
      </c>
      <c r="C66" s="1" cm="1">
        <f t="array" ref="C66">IFERROR(INDEX('Warehouse Helper'!$B$2:$B$169,_xlfn.AGGREGATE(15,6,(ROW('Warehouse Helper'!$J$2:$J$169)-ROW('Warehouse Helper'!$J$2)+1)/('Warehouse Helper'!$J$2:$J$169&gt;0),ROWS($C$7:C66))),"")</f>
        <v>46359</v>
      </c>
      <c r="D66" cm="1">
        <f t="array" ref="D66">IFERROR(INDEX('Warehouse Helper'!$J$2:$J$169,_xlfn.AGGREGATE(15,6,(ROW('Warehouse Helper'!$J$2:$J$169)-ROW('Warehouse Helper'!$J$2)+1)/('Warehouse Helper'!$J$2:$J$169&gt;0),ROWS($D$7:D66))),"")</f>
        <v>10637</v>
      </c>
      <c r="E66" t="s">
        <v>30</v>
      </c>
      <c r="F66" s="1">
        <f t="shared" si="0"/>
        <v>46362</v>
      </c>
      <c r="G66" cm="1">
        <f t="array" ref="G66">_xlfn.LET(
_xlpm.skus,Capacity!$D$3:$D$7,
_xlpm.caps,Capacity!$B$3:$B$7,
SUM(
(
SUMIFS($D$2:$D$70,$B$2:$B$70,_xlpm.skus,$F$2:$F$70,"&lt;="&amp;F66)
-
SUMIFS('Demand Projection'!$D$2:$D$169,'Demand Projection'!$B$2:$B$169,_xlpm.skus,'Demand Projection'!$C$2:$C$169,"&lt;="&amp;F66)
)
/_xlpm.caps
)
)</f>
        <v>0.95719679487179488</v>
      </c>
    </row>
    <row r="67" spans="1:7">
      <c r="A67">
        <v>66</v>
      </c>
      <c r="B67" t="str" cm="1">
        <f t="array" ref="B67">IFERROR(INDEX('Warehouse Helper'!$A$2:$A$169,_xlfn.AGGREGATE(15,6,(ROW('Warehouse Helper'!$J$2:$J$169)-ROW('Warehouse Helper'!$J$2)+1)/('Warehouse Helper'!$J$2:$J$169&gt;0),ROWS($B$7:B67))),"")</f>
        <v>SKU PROD C</v>
      </c>
      <c r="C67" s="1" cm="1">
        <f t="array" ref="C67">IFERROR(INDEX('Warehouse Helper'!$B$2:$B$169,_xlfn.AGGREGATE(15,6,(ROW('Warehouse Helper'!$J$2:$J$169)-ROW('Warehouse Helper'!$J$2)+1)/('Warehouse Helper'!$J$2:$J$169&gt;0),ROWS($C$7:C67))),"")</f>
        <v>46361</v>
      </c>
      <c r="D67" cm="1">
        <f t="array" ref="D67">IFERROR(INDEX('Warehouse Helper'!$J$2:$J$169,_xlfn.AGGREGATE(15,6,(ROW('Warehouse Helper'!$J$2:$J$169)-ROW('Warehouse Helper'!$J$2)+1)/('Warehouse Helper'!$J$2:$J$169&gt;0),ROWS($D$7:D67))),"")</f>
        <v>1687</v>
      </c>
      <c r="E67" t="s">
        <v>30</v>
      </c>
      <c r="F67" s="1">
        <f t="shared" ref="F67:F70" si="1">IF(E67="Initial Stock",C67,C67+3)</f>
        <v>46364</v>
      </c>
      <c r="G67" cm="1">
        <f t="array" ref="G67">_xlfn.LET(
_xlpm.skus,Capacity!$D$3:$D$7,
_xlpm.caps,Capacity!$B$3:$B$7,
SUM(
(
SUMIFS($D$2:$D$70,$B$2:$B$70,_xlpm.skus,$F$2:$F$70,"&lt;="&amp;F67)
-
SUMIFS('Demand Projection'!$D$2:$D$169,'Demand Projection'!$B$2:$B$169,_xlpm.skus,'Demand Projection'!$C$2:$C$169,"&lt;="&amp;F67)
)
/_xlpm.caps
)
)</f>
        <v>0.98486346153846149</v>
      </c>
    </row>
    <row r="68" spans="1:7">
      <c r="A68">
        <v>67</v>
      </c>
      <c r="B68" t="str" cm="1">
        <f t="array" ref="B68">IFERROR(INDEX('Warehouse Helper'!$A$2:$A$169,_xlfn.AGGREGATE(15,6,(ROW('Warehouse Helper'!$J$2:$J$169)-ROW('Warehouse Helper'!$J$2)+1)/('Warehouse Helper'!$J$2:$J$169&gt;0),ROWS($B$7:B68))),"")</f>
        <v>SKU PROD A</v>
      </c>
      <c r="C68" s="1" cm="1">
        <f t="array" ref="C68">IFERROR(INDEX('Warehouse Helper'!$B$2:$B$169,_xlfn.AGGREGATE(15,6,(ROW('Warehouse Helper'!$J$2:$J$169)-ROW('Warehouse Helper'!$J$2)+1)/('Warehouse Helper'!$J$2:$J$169&gt;0),ROWS($C$7:C68))),"")</f>
        <v>46380</v>
      </c>
      <c r="D68" cm="1">
        <f t="array" ref="D68">IFERROR(INDEX('Warehouse Helper'!$J$2:$J$169,_xlfn.AGGREGATE(15,6,(ROW('Warehouse Helper'!$J$2:$J$169)-ROW('Warehouse Helper'!$J$2)+1)/('Warehouse Helper'!$J$2:$J$169&gt;0),ROWS($D$7:D68))),"")</f>
        <v>2227</v>
      </c>
      <c r="E68" t="s">
        <v>30</v>
      </c>
      <c r="F68" s="1">
        <f t="shared" si="1"/>
        <v>46383</v>
      </c>
      <c r="G68" cm="1">
        <f t="array" ref="G68">_xlfn.LET(
_xlpm.skus,Capacity!$D$3:$D$7,
_xlpm.caps,Capacity!$B$3:$B$7,
SUM(
(
SUMIFS($D$2:$D$70,$B$2:$B$70,_xlpm.skus,$F$2:$F$70,"&lt;="&amp;F68)
-
SUMIFS('Demand Projection'!$D$2:$D$169,'Demand Projection'!$B$2:$B$169,_xlpm.skus,'Demand Projection'!$C$2:$C$169,"&lt;="&amp;F68)
)
/_xlpm.caps
)
)</f>
        <v>0.94652256410256408</v>
      </c>
    </row>
    <row r="69" spans="1:7">
      <c r="A69">
        <v>68</v>
      </c>
      <c r="B69" t="str" cm="1">
        <f t="array" ref="B69">IFERROR(INDEX('Warehouse Helper'!$A$2:$A$169,_xlfn.AGGREGATE(15,6,(ROW('Warehouse Helper'!$J$2:$J$169)-ROW('Warehouse Helper'!$J$2)+1)/('Warehouse Helper'!$J$2:$J$169&gt;0),ROWS($B$7:B69))),"")</f>
        <v>SKU PROD D</v>
      </c>
      <c r="C69" s="1" cm="1">
        <f t="array" ref="C69">IFERROR(INDEX('Warehouse Helper'!$B$2:$B$169,_xlfn.AGGREGATE(15,6,(ROW('Warehouse Helper'!$J$2:$J$169)-ROW('Warehouse Helper'!$J$2)+1)/('Warehouse Helper'!$J$2:$J$169&gt;0),ROWS($C$7:C69))),"")</f>
        <v>46384</v>
      </c>
      <c r="D69" cm="1">
        <f t="array" ref="D69">IFERROR(INDEX('Warehouse Helper'!$J$2:$J$169,_xlfn.AGGREGATE(15,6,(ROW('Warehouse Helper'!$J$2:$J$169)-ROW('Warehouse Helper'!$J$2)+1)/('Warehouse Helper'!$J$2:$J$169&gt;0),ROWS($D$7:D69))),"")</f>
        <v>4676</v>
      </c>
      <c r="E69" t="s">
        <v>30</v>
      </c>
      <c r="F69" s="1">
        <f t="shared" si="1"/>
        <v>46387</v>
      </c>
      <c r="G69" cm="1">
        <f t="array" ref="G69">_xlfn.LET(
_xlpm.skus,Capacity!$D$3:$D$7,
_xlpm.caps,Capacity!$B$3:$B$7,
SUM(
(
SUMIFS($D$2:$D$70,$B$2:$B$70,_xlpm.skus,$F$2:$F$70,"&lt;="&amp;F69)
-
SUMIFS('Demand Projection'!$D$2:$D$169,'Demand Projection'!$B$2:$B$169,_xlpm.skus,'Demand Projection'!$C$2:$C$169,"&lt;="&amp;F69)
)
/_xlpm.caps
)
)</f>
        <v>1.1056251282051281</v>
      </c>
    </row>
    <row r="70" spans="1:7">
      <c r="A70">
        <v>69</v>
      </c>
      <c r="B70" t="str" cm="1">
        <f t="array" ref="B70">IFERROR(INDEX('Warehouse Helper'!$A$2:$A$169,_xlfn.AGGREGATE(15,6,(ROW('Warehouse Helper'!$J$2:$J$169)-ROW('Warehouse Helper'!$J$2)+1)/('Warehouse Helper'!$J$2:$J$169&gt;0),ROWS($B$7:B70))),"")</f>
        <v>SKU PROD E</v>
      </c>
      <c r="C70" s="1" cm="1">
        <f t="array" ref="C70">IFERROR(INDEX('Warehouse Helper'!$B$2:$B$169,_xlfn.AGGREGATE(15,6,(ROW('Warehouse Helper'!$J$2:$J$169)-ROW('Warehouse Helper'!$J$2)+1)/('Warehouse Helper'!$J$2:$J$169&gt;0),ROWS($C$7:C70))),"")</f>
        <v>46384</v>
      </c>
      <c r="D70" cm="1">
        <f t="array" ref="D70">IFERROR(INDEX('Warehouse Helper'!$J$2:$J$169,_xlfn.AGGREGATE(15,6,(ROW('Warehouse Helper'!$J$2:$J$169)-ROW('Warehouse Helper'!$J$2)+1)/('Warehouse Helper'!$J$2:$J$169&gt;0),ROWS($D$7:D70))),"")</f>
        <v>2671</v>
      </c>
      <c r="E70" t="s">
        <v>30</v>
      </c>
      <c r="F70" s="1">
        <f t="shared" si="1"/>
        <v>46387</v>
      </c>
      <c r="G70" cm="1">
        <f t="array" ref="G70">_xlfn.LET(
_xlpm.skus,Capacity!$D$3:$D$7,
_xlpm.caps,Capacity!$B$3:$B$7,
SUM(
(
SUMIFS($D$2:$D$70,$B$2:$B$70,_xlpm.skus,$F$2:$F$70,"&lt;="&amp;F70)
-
SUMIFS('Demand Projection'!$D$2:$D$169,'Demand Projection'!$B$2:$B$169,_xlpm.skus,'Demand Projection'!$C$2:$C$169,"&lt;="&amp;F70)
)
/_xlpm.caps
)
)</f>
        <v>1.1056251282051281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4FF-9AC1-4F59-A0B6-0BC5189A2A3A}">
  <dimension ref="A1:F7"/>
  <sheetViews>
    <sheetView topLeftCell="D1" zoomScale="115" zoomScaleNormal="115" workbookViewId="0">
      <selection activeCell="H12" sqref="H12"/>
    </sheetView>
  </sheetViews>
  <sheetFormatPr defaultRowHeight="14.25"/>
  <cols>
    <col min="1" max="1" width="13.875" customWidth="1"/>
    <col min="2" max="2" width="18.375" customWidth="1"/>
    <col min="3" max="3" width="12.375" customWidth="1"/>
    <col min="4" max="4" width="15.125" customWidth="1"/>
    <col min="5" max="5" width="13.875" customWidth="1"/>
    <col min="6" max="6" width="12.75" customWidth="1"/>
    <col min="8" max="8" width="14.75" customWidth="1"/>
    <col min="9" max="9" width="23.25" customWidth="1"/>
  </cols>
  <sheetData>
    <row r="1" spans="1:6">
      <c r="A1" t="s">
        <v>6</v>
      </c>
      <c r="D1" t="s">
        <v>17</v>
      </c>
    </row>
    <row r="2" spans="1:6">
      <c r="A2" t="s">
        <v>0</v>
      </c>
      <c r="B2" t="s">
        <v>12</v>
      </c>
      <c r="D2" t="s">
        <v>0</v>
      </c>
      <c r="E2" t="s">
        <v>15</v>
      </c>
      <c r="F2" t="s">
        <v>16</v>
      </c>
    </row>
    <row r="3" spans="1:6">
      <c r="A3" t="s">
        <v>7</v>
      </c>
      <c r="B3">
        <v>10000</v>
      </c>
      <c r="D3" t="s">
        <v>7</v>
      </c>
      <c r="E3">
        <f>_xlfn.MINIFS('Demand Helper'!$D$2:$D$169,'Demand Helper'!$A$2:$A$169,$D3)</f>
        <v>678</v>
      </c>
      <c r="F3">
        <f>_xlfn.MAXIFS('Demand Helper'!$D$2:$D$169,'Demand Helper'!$A$2:$A$169,$D3)</f>
        <v>2632</v>
      </c>
    </row>
    <row r="4" spans="1:6">
      <c r="A4" t="s">
        <v>8</v>
      </c>
      <c r="B4">
        <v>25000</v>
      </c>
      <c r="D4" t="s">
        <v>8</v>
      </c>
      <c r="E4">
        <f>_xlfn.MINIFS('Demand Helper'!$D$2:$D$169,'Demand Helper'!$A$2:$A$169,$D4)</f>
        <v>376</v>
      </c>
      <c r="F4">
        <f>_xlfn.MAXIFS('Demand Helper'!$D$2:$D$169,'Demand Helper'!$A$2:$A$169,$D4)</f>
        <v>6570</v>
      </c>
    </row>
    <row r="5" spans="1:6">
      <c r="A5" t="s">
        <v>9</v>
      </c>
      <c r="B5">
        <v>15000</v>
      </c>
      <c r="D5" t="s">
        <v>9</v>
      </c>
      <c r="E5">
        <f>_xlfn.MINIFS('Demand Helper'!$D$2:$D$169,'Demand Helper'!$A$2:$A$169,$D5)</f>
        <v>358</v>
      </c>
      <c r="F5">
        <f>_xlfn.MAXIFS('Demand Helper'!$D$2:$D$169,'Demand Helper'!$A$2:$A$169,$D5)</f>
        <v>1537</v>
      </c>
    </row>
    <row r="6" spans="1:6">
      <c r="A6" t="s">
        <v>10</v>
      </c>
      <c r="B6">
        <v>8000</v>
      </c>
      <c r="D6" t="s">
        <v>10</v>
      </c>
      <c r="E6">
        <f>_xlfn.MINIFS('Demand Helper'!$D$2:$D$169,'Demand Helper'!$A$2:$A$169,$D6)</f>
        <v>430</v>
      </c>
      <c r="F6">
        <f>_xlfn.MAXIFS('Demand Helper'!$D$2:$D$169,'Demand Helper'!$A$2:$A$169,$D6)</f>
        <v>3532</v>
      </c>
    </row>
    <row r="7" spans="1:6">
      <c r="A7" t="s">
        <v>11</v>
      </c>
      <c r="B7">
        <v>19500</v>
      </c>
      <c r="D7" t="s">
        <v>11</v>
      </c>
      <c r="E7">
        <f>_xlfn.MINIFS('Demand Helper'!$D$2:$D$169,'Demand Helper'!$A$2:$A$169,$D7)</f>
        <v>250</v>
      </c>
      <c r="F7">
        <f>_xlfn.MAXIFS('Demand Helper'!$D$2:$D$169,'Demand Helper'!$A$2:$A$169,$D7)</f>
        <v>2357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0753-25C6-4234-A2AF-F431EC82DAE0}">
  <dimension ref="A1:K169"/>
  <sheetViews>
    <sheetView topLeftCell="F1" workbookViewId="0">
      <selection activeCell="I3" sqref="I3"/>
    </sheetView>
  </sheetViews>
  <sheetFormatPr defaultRowHeight="14.25"/>
  <cols>
    <col min="1" max="1" width="12.5" bestFit="1" customWidth="1"/>
  </cols>
  <sheetData>
    <row r="1" spans="1:11">
      <c r="A1" t="s">
        <v>23</v>
      </c>
      <c r="B1" t="s">
        <v>14</v>
      </c>
      <c r="C1" t="s">
        <v>24</v>
      </c>
      <c r="D1" t="s">
        <v>19</v>
      </c>
      <c r="E1" t="s">
        <v>25</v>
      </c>
      <c r="F1" t="s">
        <v>26</v>
      </c>
      <c r="G1" t="s">
        <v>27</v>
      </c>
      <c r="H1" t="s">
        <v>15</v>
      </c>
      <c r="I1" t="s">
        <v>16</v>
      </c>
      <c r="J1" t="s">
        <v>28</v>
      </c>
      <c r="K1" t="s">
        <v>29</v>
      </c>
    </row>
    <row r="2" spans="1:11">
      <c r="A2" t="str">
        <f>'Demand Projection'!B2</f>
        <v>SKU PROD A</v>
      </c>
      <c r="B2" s="1">
        <f>'Demand Projection'!C2</f>
        <v>46025</v>
      </c>
      <c r="C2">
        <f>'Demand Projection'!D2</f>
        <v>1000</v>
      </c>
      <c r="D2">
        <f>SUMIFS(Warehouse!$D$2:$D$6,Warehouse!$B$2:$B$6,A2)</f>
        <v>2200</v>
      </c>
      <c r="E2">
        <f>SUMIFS($C$2:C2,$A$2:A2,A2)</f>
        <v>1000</v>
      </c>
      <c r="F2">
        <f>0</f>
        <v>0</v>
      </c>
      <c r="G2">
        <f>D2-E2+F2</f>
        <v>1200</v>
      </c>
      <c r="H2">
        <f>INDEX(Capacity!$E$3:$E$7,MATCH(A2,Capacity!$D$3:$D$7,0))</f>
        <v>678</v>
      </c>
      <c r="I2">
        <f>INDEX(Capacity!$F$3:$F$7,MATCH(A2,Capacity!$D$3:$D$7,0))</f>
        <v>2632</v>
      </c>
      <c r="J2">
        <f>IF(G2&lt;H2,I2-G2,0)</f>
        <v>0</v>
      </c>
      <c r="K2" s="1">
        <f>B2+3</f>
        <v>46028</v>
      </c>
    </row>
    <row r="3" spans="1:11">
      <c r="A3" t="str">
        <f>'Demand Projection'!B3</f>
        <v>SKU PROD B</v>
      </c>
      <c r="B3" s="1">
        <f>'Demand Projection'!C3</f>
        <v>46025</v>
      </c>
      <c r="C3">
        <f>'Demand Projection'!D3</f>
        <v>6000</v>
      </c>
      <c r="D3">
        <f>SUMIFS(Warehouse!$D$2:$D$6,Warehouse!$B$2:$B$6,A3)</f>
        <v>8000</v>
      </c>
      <c r="E3">
        <f>SUMIFS($C$2:C3,$A$2:A3,A3)</f>
        <v>6000</v>
      </c>
      <c r="F3">
        <f>SUMIFS($J$2:J2,$A$2:A2,A3,$K$2:K2,"&lt;="&amp;B3)</f>
        <v>0</v>
      </c>
      <c r="G3">
        <f t="shared" ref="G3:G66" si="0">D3-E3+F3</f>
        <v>2000</v>
      </c>
      <c r="H3">
        <f>INDEX(Capacity!$E$3:$E$7,MATCH(A3,Capacity!$D$3:$D$7,0))</f>
        <v>376</v>
      </c>
      <c r="I3">
        <f>INDEX(Capacity!$F$3:$F$7,MATCH(A3,Capacity!$D$3:$D$7,0))</f>
        <v>6570</v>
      </c>
      <c r="J3">
        <f t="shared" ref="J3:J66" si="1">IF(G3&lt;H3,I3-G3,0)</f>
        <v>0</v>
      </c>
      <c r="K3" s="1">
        <f t="shared" ref="K3:K66" si="2">B3+3</f>
        <v>46028</v>
      </c>
    </row>
    <row r="4" spans="1:11">
      <c r="A4" t="str">
        <f>'Demand Projection'!B4</f>
        <v>SKU PROD A</v>
      </c>
      <c r="B4" s="1">
        <f>'Demand Projection'!C4</f>
        <v>46026</v>
      </c>
      <c r="C4">
        <f>'Demand Projection'!D4</f>
        <v>400</v>
      </c>
      <c r="D4">
        <f>SUMIFS(Warehouse!$D$2:$D$6,Warehouse!$B$2:$B$6,A4)</f>
        <v>2200</v>
      </c>
      <c r="E4">
        <f>SUMIFS($C$2:C4,$A$2:A4,A4)</f>
        <v>1400</v>
      </c>
      <c r="F4">
        <f>SUMIFS($J$2:J3,$A$2:A3,A4,$K$2:K3,"&lt;="&amp;B4)</f>
        <v>0</v>
      </c>
      <c r="G4">
        <f t="shared" si="0"/>
        <v>800</v>
      </c>
      <c r="H4">
        <f>INDEX(Capacity!$E$3:$E$7,MATCH(A4,Capacity!$D$3:$D$7,0))</f>
        <v>678</v>
      </c>
      <c r="I4">
        <f>INDEX(Capacity!$F$3:$F$7,MATCH(A4,Capacity!$D$3:$D$7,0))</f>
        <v>2632</v>
      </c>
      <c r="J4">
        <f t="shared" si="1"/>
        <v>0</v>
      </c>
      <c r="K4" s="1">
        <f t="shared" si="2"/>
        <v>46029</v>
      </c>
    </row>
    <row r="5" spans="1:11">
      <c r="A5" t="str">
        <f>'Demand Projection'!B5</f>
        <v>SKU PROD C</v>
      </c>
      <c r="B5" s="1">
        <f>'Demand Projection'!C5</f>
        <v>46027</v>
      </c>
      <c r="C5">
        <f>'Demand Projection'!D5</f>
        <v>900</v>
      </c>
      <c r="D5">
        <f>SUMIFS(Warehouse!$D$2:$D$6,Warehouse!$B$2:$B$6,A5)</f>
        <v>1700</v>
      </c>
      <c r="E5">
        <f>SUMIFS($C$2:C5,$A$2:A5,A5)</f>
        <v>900</v>
      </c>
      <c r="F5">
        <f>SUMIFS($J$2:J4,$A$2:A4,A5,$K$2:K4,"&lt;="&amp;B5)</f>
        <v>0</v>
      </c>
      <c r="G5">
        <f t="shared" si="0"/>
        <v>800</v>
      </c>
      <c r="H5">
        <f>INDEX(Capacity!$E$3:$E$7,MATCH(A5,Capacity!$D$3:$D$7,0))</f>
        <v>358</v>
      </c>
      <c r="I5">
        <f>INDEX(Capacity!$F$3:$F$7,MATCH(A5,Capacity!$D$3:$D$7,0))</f>
        <v>1537</v>
      </c>
      <c r="J5">
        <f t="shared" si="1"/>
        <v>0</v>
      </c>
      <c r="K5" s="1">
        <f t="shared" si="2"/>
        <v>46030</v>
      </c>
    </row>
    <row r="6" spans="1:11">
      <c r="A6" t="str">
        <f>'Demand Projection'!B6</f>
        <v>SKU PROD D</v>
      </c>
      <c r="B6" s="1">
        <f>'Demand Projection'!C6</f>
        <v>46028</v>
      </c>
      <c r="C6">
        <f>'Demand Projection'!D6</f>
        <v>600</v>
      </c>
      <c r="D6">
        <f>SUMIFS(Warehouse!$D$2:$D$6,Warehouse!$B$2:$B$6,A6)</f>
        <v>3500</v>
      </c>
      <c r="E6">
        <f>SUMIFS($C$2:C6,$A$2:A6,A6)</f>
        <v>600</v>
      </c>
      <c r="F6">
        <f>SUMIFS($J$2:J5,$A$2:A5,A6,$K$2:K5,"&lt;="&amp;B6)</f>
        <v>0</v>
      </c>
      <c r="G6">
        <f t="shared" si="0"/>
        <v>2900</v>
      </c>
      <c r="H6">
        <f>INDEX(Capacity!$E$3:$E$7,MATCH(A6,Capacity!$D$3:$D$7,0))</f>
        <v>430</v>
      </c>
      <c r="I6">
        <f>INDEX(Capacity!$F$3:$F$7,MATCH(A6,Capacity!$D$3:$D$7,0))</f>
        <v>3532</v>
      </c>
      <c r="J6">
        <f t="shared" si="1"/>
        <v>0</v>
      </c>
      <c r="K6" s="1">
        <f t="shared" si="2"/>
        <v>46031</v>
      </c>
    </row>
    <row r="7" spans="1:11">
      <c r="A7" t="str">
        <f>'Demand Projection'!B7</f>
        <v>SKU PROD A</v>
      </c>
      <c r="B7" s="1">
        <f>'Demand Projection'!C7</f>
        <v>46029</v>
      </c>
      <c r="C7">
        <f>'Demand Projection'!D7</f>
        <v>1000</v>
      </c>
      <c r="D7">
        <f>SUMIFS(Warehouse!$D$2:$D$6,Warehouse!$B$2:$B$6,A7)</f>
        <v>2200</v>
      </c>
      <c r="E7">
        <f>SUMIFS($C$2:C7,$A$2:A7,A7)</f>
        <v>2400</v>
      </c>
      <c r="F7">
        <f>SUMIFS($J$2:J6,$A$2:A6,A7,$K$2:K6,"&lt;="&amp;B7)</f>
        <v>0</v>
      </c>
      <c r="G7">
        <f t="shared" si="0"/>
        <v>-200</v>
      </c>
      <c r="H7">
        <f>INDEX(Capacity!$E$3:$E$7,MATCH(A7,Capacity!$D$3:$D$7,0))</f>
        <v>678</v>
      </c>
      <c r="I7">
        <f>INDEX(Capacity!$F$3:$F$7,MATCH(A7,Capacity!$D$3:$D$7,0))</f>
        <v>2632</v>
      </c>
      <c r="J7">
        <f t="shared" si="1"/>
        <v>2832</v>
      </c>
      <c r="K7" s="1">
        <f t="shared" si="2"/>
        <v>46032</v>
      </c>
    </row>
    <row r="8" spans="1:11">
      <c r="A8" t="str">
        <f>'Demand Projection'!B8</f>
        <v>SKU PROD C</v>
      </c>
      <c r="B8" s="1">
        <f>'Demand Projection'!C8</f>
        <v>46031</v>
      </c>
      <c r="C8">
        <f>'Demand Projection'!D8</f>
        <v>500</v>
      </c>
      <c r="D8">
        <f>SUMIFS(Warehouse!$D$2:$D$6,Warehouse!$B$2:$B$6,A8)</f>
        <v>1700</v>
      </c>
      <c r="E8">
        <f>SUMIFS($C$2:C8,$A$2:A8,A8)</f>
        <v>1400</v>
      </c>
      <c r="F8">
        <f>SUMIFS($J$2:J7,$A$2:A7,A8,$K$2:K7,"&lt;="&amp;B8)</f>
        <v>0</v>
      </c>
      <c r="G8">
        <f t="shared" si="0"/>
        <v>300</v>
      </c>
      <c r="H8">
        <f>INDEX(Capacity!$E$3:$E$7,MATCH(A8,Capacity!$D$3:$D$7,0))</f>
        <v>358</v>
      </c>
      <c r="I8">
        <f>INDEX(Capacity!$F$3:$F$7,MATCH(A8,Capacity!$D$3:$D$7,0))</f>
        <v>1537</v>
      </c>
      <c r="J8">
        <f t="shared" si="1"/>
        <v>1237</v>
      </c>
      <c r="K8" s="1">
        <f t="shared" si="2"/>
        <v>46034</v>
      </c>
    </row>
    <row r="9" spans="1:11">
      <c r="A9" t="str">
        <f>'Demand Projection'!B9</f>
        <v>SKU PROD E</v>
      </c>
      <c r="B9" s="1">
        <f>'Demand Projection'!C9</f>
        <v>46034</v>
      </c>
      <c r="C9">
        <f>'Demand Projection'!D9</f>
        <v>400</v>
      </c>
      <c r="D9">
        <f>SUMIFS(Warehouse!$D$2:$D$6,Warehouse!$B$2:$B$6,A9)</f>
        <v>2300</v>
      </c>
      <c r="E9">
        <f>SUMIFS($C$2:C9,$A$2:A9,A9)</f>
        <v>400</v>
      </c>
      <c r="F9">
        <f>SUMIFS($J$2:J8,$A$2:A8,A9,$K$2:K8,"&lt;="&amp;B9)</f>
        <v>0</v>
      </c>
      <c r="G9">
        <f t="shared" si="0"/>
        <v>1900</v>
      </c>
      <c r="H9">
        <f>INDEX(Capacity!$E$3:$E$7,MATCH(A9,Capacity!$D$3:$D$7,0))</f>
        <v>250</v>
      </c>
      <c r="I9">
        <f>INDEX(Capacity!$F$3:$F$7,MATCH(A9,Capacity!$D$3:$D$7,0))</f>
        <v>2357</v>
      </c>
      <c r="J9">
        <f t="shared" si="1"/>
        <v>0</v>
      </c>
      <c r="K9" s="1">
        <f t="shared" si="2"/>
        <v>46037</v>
      </c>
    </row>
    <row r="10" spans="1:11">
      <c r="A10" t="str">
        <f>'Demand Projection'!B10</f>
        <v>SKU PROD B</v>
      </c>
      <c r="B10" s="1">
        <f>'Demand Projection'!C10</f>
        <v>46035</v>
      </c>
      <c r="C10">
        <f>'Demand Projection'!D10</f>
        <v>600</v>
      </c>
      <c r="D10">
        <f>SUMIFS(Warehouse!$D$2:$D$6,Warehouse!$B$2:$B$6,A10)</f>
        <v>8000</v>
      </c>
      <c r="E10">
        <f>SUMIFS($C$2:C10,$A$2:A10,A10)</f>
        <v>6600</v>
      </c>
      <c r="F10">
        <f>SUMIFS($J$2:J9,$A$2:A9,A10,$K$2:K9,"&lt;="&amp;B10)</f>
        <v>0</v>
      </c>
      <c r="G10">
        <f t="shared" si="0"/>
        <v>1400</v>
      </c>
      <c r="H10">
        <f>INDEX(Capacity!$E$3:$E$7,MATCH(A10,Capacity!$D$3:$D$7,0))</f>
        <v>376</v>
      </c>
      <c r="I10">
        <f>INDEX(Capacity!$F$3:$F$7,MATCH(A10,Capacity!$D$3:$D$7,0))</f>
        <v>6570</v>
      </c>
      <c r="J10">
        <f t="shared" si="1"/>
        <v>0</v>
      </c>
      <c r="K10" s="1">
        <f t="shared" si="2"/>
        <v>46038</v>
      </c>
    </row>
    <row r="11" spans="1:11">
      <c r="A11" t="str">
        <f>'Demand Projection'!B11</f>
        <v>SKU PROD D</v>
      </c>
      <c r="B11" s="1">
        <f>'Demand Projection'!C11</f>
        <v>46039</v>
      </c>
      <c r="C11">
        <f>'Demand Projection'!D11</f>
        <v>900</v>
      </c>
      <c r="D11">
        <f>SUMIFS(Warehouse!$D$2:$D$6,Warehouse!$B$2:$B$6,A11)</f>
        <v>3500</v>
      </c>
      <c r="E11">
        <f>SUMIFS($C$2:C11,$A$2:A11,A11)</f>
        <v>1500</v>
      </c>
      <c r="F11">
        <f>SUMIFS($J$2:J10,$A$2:A10,A11,$K$2:K10,"&lt;="&amp;B11)</f>
        <v>0</v>
      </c>
      <c r="G11">
        <f t="shared" si="0"/>
        <v>2000</v>
      </c>
      <c r="H11">
        <f>INDEX(Capacity!$E$3:$E$7,MATCH(A11,Capacity!$D$3:$D$7,0))</f>
        <v>430</v>
      </c>
      <c r="I11">
        <f>INDEX(Capacity!$F$3:$F$7,MATCH(A11,Capacity!$D$3:$D$7,0))</f>
        <v>3532</v>
      </c>
      <c r="J11">
        <f t="shared" si="1"/>
        <v>0</v>
      </c>
      <c r="K11" s="1">
        <f t="shared" si="2"/>
        <v>46042</v>
      </c>
    </row>
    <row r="12" spans="1:11">
      <c r="A12" t="str">
        <f>'Demand Projection'!B12</f>
        <v>SKU PROD C</v>
      </c>
      <c r="B12" s="1">
        <f>'Demand Projection'!C12</f>
        <v>46042</v>
      </c>
      <c r="C12">
        <f>'Demand Projection'!D12</f>
        <v>800</v>
      </c>
      <c r="D12">
        <f>SUMIFS(Warehouse!$D$2:$D$6,Warehouse!$B$2:$B$6,A12)</f>
        <v>1700</v>
      </c>
      <c r="E12">
        <f>SUMIFS($C$2:C12,$A$2:A12,A12)</f>
        <v>2200</v>
      </c>
      <c r="F12">
        <f>SUMIFS($J$2:J11,$A$2:A11,A12,$K$2:K11,"&lt;="&amp;B12)</f>
        <v>1237</v>
      </c>
      <c r="G12">
        <f t="shared" si="0"/>
        <v>737</v>
      </c>
      <c r="H12">
        <f>INDEX(Capacity!$E$3:$E$7,MATCH(A12,Capacity!$D$3:$D$7,0))</f>
        <v>358</v>
      </c>
      <c r="I12">
        <f>INDEX(Capacity!$F$3:$F$7,MATCH(A12,Capacity!$D$3:$D$7,0))</f>
        <v>1537</v>
      </c>
      <c r="J12">
        <f t="shared" si="1"/>
        <v>0</v>
      </c>
      <c r="K12" s="1">
        <f t="shared" si="2"/>
        <v>46045</v>
      </c>
    </row>
    <row r="13" spans="1:11">
      <c r="A13" t="str">
        <f>'Demand Projection'!B13</f>
        <v>SKU PROD A</v>
      </c>
      <c r="B13" s="1">
        <f>'Demand Projection'!C13</f>
        <v>46046</v>
      </c>
      <c r="C13">
        <f>'Demand Projection'!D13</f>
        <v>1000</v>
      </c>
      <c r="D13">
        <f>SUMIFS(Warehouse!$D$2:$D$6,Warehouse!$B$2:$B$6,A13)</f>
        <v>2200</v>
      </c>
      <c r="E13">
        <f>SUMIFS($C$2:C13,$A$2:A13,A13)</f>
        <v>3400</v>
      </c>
      <c r="F13">
        <f>SUMIFS($J$2:J12,$A$2:A12,A13,$K$2:K12,"&lt;="&amp;B13)</f>
        <v>2832</v>
      </c>
      <c r="G13">
        <f t="shared" si="0"/>
        <v>1632</v>
      </c>
      <c r="H13">
        <f>INDEX(Capacity!$E$3:$E$7,MATCH(A13,Capacity!$D$3:$D$7,0))</f>
        <v>678</v>
      </c>
      <c r="I13">
        <f>INDEX(Capacity!$F$3:$F$7,MATCH(A13,Capacity!$D$3:$D$7,0))</f>
        <v>2632</v>
      </c>
      <c r="J13">
        <f t="shared" si="1"/>
        <v>0</v>
      </c>
      <c r="K13" s="1">
        <f t="shared" si="2"/>
        <v>46049</v>
      </c>
    </row>
    <row r="14" spans="1:11">
      <c r="A14" t="str">
        <f>'Demand Projection'!B14</f>
        <v>SKU PROD D</v>
      </c>
      <c r="B14" s="1">
        <f>'Demand Projection'!C14</f>
        <v>46050</v>
      </c>
      <c r="C14">
        <f>'Demand Projection'!D14</f>
        <v>3000</v>
      </c>
      <c r="D14">
        <f>SUMIFS(Warehouse!$D$2:$D$6,Warehouse!$B$2:$B$6,A14)</f>
        <v>3500</v>
      </c>
      <c r="E14">
        <f>SUMIFS($C$2:C14,$A$2:A14,A14)</f>
        <v>4500</v>
      </c>
      <c r="F14">
        <f>SUMIFS($J$2:J13,$A$2:A13,A14,$K$2:K13,"&lt;="&amp;B14)</f>
        <v>0</v>
      </c>
      <c r="G14">
        <f t="shared" si="0"/>
        <v>-1000</v>
      </c>
      <c r="H14">
        <f>INDEX(Capacity!$E$3:$E$7,MATCH(A14,Capacity!$D$3:$D$7,0))</f>
        <v>430</v>
      </c>
      <c r="I14">
        <f>INDEX(Capacity!$F$3:$F$7,MATCH(A14,Capacity!$D$3:$D$7,0))</f>
        <v>3532</v>
      </c>
      <c r="J14">
        <f t="shared" si="1"/>
        <v>4532</v>
      </c>
      <c r="K14" s="1">
        <f t="shared" si="2"/>
        <v>46053</v>
      </c>
    </row>
    <row r="15" spans="1:11">
      <c r="A15" t="str">
        <f>'Demand Projection'!B15</f>
        <v>SKU PROD E</v>
      </c>
      <c r="B15" s="1">
        <f>'Demand Projection'!C15</f>
        <v>46050</v>
      </c>
      <c r="C15">
        <f>'Demand Projection'!D15</f>
        <v>2000</v>
      </c>
      <c r="D15">
        <f>SUMIFS(Warehouse!$D$2:$D$6,Warehouse!$B$2:$B$6,A15)</f>
        <v>2300</v>
      </c>
      <c r="E15">
        <f>SUMIFS($C$2:C15,$A$2:A15,A15)</f>
        <v>2400</v>
      </c>
      <c r="F15">
        <f>SUMIFS($J$2:J14,$A$2:A14,A15,$K$2:K14,"&lt;="&amp;B15)</f>
        <v>0</v>
      </c>
      <c r="G15">
        <f t="shared" si="0"/>
        <v>-100</v>
      </c>
      <c r="H15">
        <f>INDEX(Capacity!$E$3:$E$7,MATCH(A15,Capacity!$D$3:$D$7,0))</f>
        <v>250</v>
      </c>
      <c r="I15">
        <f>INDEX(Capacity!$F$3:$F$7,MATCH(A15,Capacity!$D$3:$D$7,0))</f>
        <v>2357</v>
      </c>
      <c r="J15">
        <f t="shared" si="1"/>
        <v>2457</v>
      </c>
      <c r="K15" s="1">
        <f t="shared" si="2"/>
        <v>46053</v>
      </c>
    </row>
    <row r="16" spans="1:11">
      <c r="A16" t="str">
        <f>'Demand Projection'!B16</f>
        <v>SKU PROD A</v>
      </c>
      <c r="B16" s="1">
        <f>'Demand Projection'!C16</f>
        <v>46056</v>
      </c>
      <c r="C16">
        <f>'Demand Projection'!D16</f>
        <v>1050</v>
      </c>
      <c r="D16">
        <f>SUMIFS(Warehouse!$D$2:$D$6,Warehouse!$B$2:$B$6,A16)</f>
        <v>2200</v>
      </c>
      <c r="E16">
        <f>SUMIFS($C$2:C16,$A$2:A16,A16)</f>
        <v>4450</v>
      </c>
      <c r="F16">
        <f>SUMIFS($J$2:J15,$A$2:A15,A16,$K$2:K15,"&lt;="&amp;B16)</f>
        <v>2832</v>
      </c>
      <c r="G16">
        <f t="shared" si="0"/>
        <v>582</v>
      </c>
      <c r="H16">
        <f>INDEX(Capacity!$E$3:$E$7,MATCH(A16,Capacity!$D$3:$D$7,0))</f>
        <v>678</v>
      </c>
      <c r="I16">
        <f>INDEX(Capacity!$F$3:$F$7,MATCH(A16,Capacity!$D$3:$D$7,0))</f>
        <v>2632</v>
      </c>
      <c r="J16">
        <f t="shared" si="1"/>
        <v>2050</v>
      </c>
      <c r="K16" s="1">
        <f t="shared" si="2"/>
        <v>46059</v>
      </c>
    </row>
    <row r="17" spans="1:11">
      <c r="A17" t="str">
        <f>'Demand Projection'!B17</f>
        <v>SKU PROD B</v>
      </c>
      <c r="B17" s="1">
        <f>'Demand Projection'!C17</f>
        <v>46056</v>
      </c>
      <c r="C17">
        <f>'Demand Projection'!D17</f>
        <v>6300</v>
      </c>
      <c r="D17">
        <f>SUMIFS(Warehouse!$D$2:$D$6,Warehouse!$B$2:$B$6,A17)</f>
        <v>8000</v>
      </c>
      <c r="E17">
        <f>SUMIFS($C$2:C17,$A$2:A17,A17)</f>
        <v>12900</v>
      </c>
      <c r="F17">
        <f>SUMIFS($J$2:J16,$A$2:A16,A17,$K$2:K16,"&lt;="&amp;B17)</f>
        <v>0</v>
      </c>
      <c r="G17">
        <f t="shared" si="0"/>
        <v>-4900</v>
      </c>
      <c r="H17">
        <f>INDEX(Capacity!$E$3:$E$7,MATCH(A17,Capacity!$D$3:$D$7,0))</f>
        <v>376</v>
      </c>
      <c r="I17">
        <f>INDEX(Capacity!$F$3:$F$7,MATCH(A17,Capacity!$D$3:$D$7,0))</f>
        <v>6570</v>
      </c>
      <c r="J17">
        <f t="shared" si="1"/>
        <v>11470</v>
      </c>
      <c r="K17" s="1">
        <f t="shared" si="2"/>
        <v>46059</v>
      </c>
    </row>
    <row r="18" spans="1:11">
      <c r="A18" t="str">
        <f>'Demand Projection'!B18</f>
        <v>SKU PROD A</v>
      </c>
      <c r="B18" s="1">
        <f>'Demand Projection'!C18</f>
        <v>46057</v>
      </c>
      <c r="C18">
        <f>'Demand Projection'!D18</f>
        <v>420</v>
      </c>
      <c r="D18">
        <f>SUMIFS(Warehouse!$D$2:$D$6,Warehouse!$B$2:$B$6,A18)</f>
        <v>2200</v>
      </c>
      <c r="E18">
        <f>SUMIFS($C$2:C18,$A$2:A18,A18)</f>
        <v>4870</v>
      </c>
      <c r="F18">
        <f>SUMIFS($J$2:J17,$A$2:A17,A18,$K$2:K17,"&lt;="&amp;B18)</f>
        <v>2832</v>
      </c>
      <c r="G18">
        <f t="shared" si="0"/>
        <v>162</v>
      </c>
      <c r="H18">
        <f>INDEX(Capacity!$E$3:$E$7,MATCH(A18,Capacity!$D$3:$D$7,0))</f>
        <v>678</v>
      </c>
      <c r="I18">
        <f>INDEX(Capacity!$F$3:$F$7,MATCH(A18,Capacity!$D$3:$D$7,0))</f>
        <v>2632</v>
      </c>
      <c r="J18">
        <f t="shared" si="1"/>
        <v>2470</v>
      </c>
      <c r="K18" s="1">
        <f t="shared" si="2"/>
        <v>46060</v>
      </c>
    </row>
    <row r="19" spans="1:11">
      <c r="A19" t="str">
        <f>'Demand Projection'!B19</f>
        <v>SKU PROD C</v>
      </c>
      <c r="B19" s="1">
        <f>'Demand Projection'!C19</f>
        <v>46058</v>
      </c>
      <c r="C19">
        <f>'Demand Projection'!D19</f>
        <v>945</v>
      </c>
      <c r="D19">
        <f>SUMIFS(Warehouse!$D$2:$D$6,Warehouse!$B$2:$B$6,A19)</f>
        <v>1700</v>
      </c>
      <c r="E19">
        <f>SUMIFS($C$2:C19,$A$2:A19,A19)</f>
        <v>3145</v>
      </c>
      <c r="F19">
        <f>SUMIFS($J$2:J18,$A$2:A18,A19,$K$2:K18,"&lt;="&amp;B19)</f>
        <v>1237</v>
      </c>
      <c r="G19">
        <f t="shared" si="0"/>
        <v>-208</v>
      </c>
      <c r="H19">
        <f>INDEX(Capacity!$E$3:$E$7,MATCH(A19,Capacity!$D$3:$D$7,0))</f>
        <v>358</v>
      </c>
      <c r="I19">
        <f>INDEX(Capacity!$F$3:$F$7,MATCH(A19,Capacity!$D$3:$D$7,0))</f>
        <v>1537</v>
      </c>
      <c r="J19">
        <f t="shared" si="1"/>
        <v>1745</v>
      </c>
      <c r="K19" s="1">
        <f t="shared" si="2"/>
        <v>46061</v>
      </c>
    </row>
    <row r="20" spans="1:11">
      <c r="A20" t="str">
        <f>'Demand Projection'!B20</f>
        <v>SKU PROD D</v>
      </c>
      <c r="B20" s="1">
        <f>'Demand Projection'!C20</f>
        <v>46059</v>
      </c>
      <c r="C20">
        <f>'Demand Projection'!D20</f>
        <v>630</v>
      </c>
      <c r="D20">
        <f>SUMIFS(Warehouse!$D$2:$D$6,Warehouse!$B$2:$B$6,A20)</f>
        <v>3500</v>
      </c>
      <c r="E20">
        <f>SUMIFS($C$2:C20,$A$2:A20,A20)</f>
        <v>5130</v>
      </c>
      <c r="F20">
        <f>SUMIFS($J$2:J19,$A$2:A19,A20,$K$2:K19,"&lt;="&amp;B20)</f>
        <v>4532</v>
      </c>
      <c r="G20">
        <f t="shared" si="0"/>
        <v>2902</v>
      </c>
      <c r="H20">
        <f>INDEX(Capacity!$E$3:$E$7,MATCH(A20,Capacity!$D$3:$D$7,0))</f>
        <v>430</v>
      </c>
      <c r="I20">
        <f>INDEX(Capacity!$F$3:$F$7,MATCH(A20,Capacity!$D$3:$D$7,0))</f>
        <v>3532</v>
      </c>
      <c r="J20">
        <f t="shared" si="1"/>
        <v>0</v>
      </c>
      <c r="K20" s="1">
        <f t="shared" si="2"/>
        <v>46062</v>
      </c>
    </row>
    <row r="21" spans="1:11">
      <c r="A21" t="str">
        <f>'Demand Projection'!B21</f>
        <v>SKU PROD A</v>
      </c>
      <c r="B21" s="1">
        <f>'Demand Projection'!C21</f>
        <v>46060</v>
      </c>
      <c r="C21">
        <f>'Demand Projection'!D21</f>
        <v>1050</v>
      </c>
      <c r="D21">
        <f>SUMIFS(Warehouse!$D$2:$D$6,Warehouse!$B$2:$B$6,A21)</f>
        <v>2200</v>
      </c>
      <c r="E21">
        <f>SUMIFS($C$2:C21,$A$2:A21,A21)</f>
        <v>5920</v>
      </c>
      <c r="F21">
        <f>SUMIFS($J$2:J20,$A$2:A20,A21,$K$2:K20,"&lt;="&amp;B21)</f>
        <v>7352</v>
      </c>
      <c r="G21">
        <f t="shared" si="0"/>
        <v>3632</v>
      </c>
      <c r="H21">
        <f>INDEX(Capacity!$E$3:$E$7,MATCH(A21,Capacity!$D$3:$D$7,0))</f>
        <v>678</v>
      </c>
      <c r="I21">
        <f>INDEX(Capacity!$F$3:$F$7,MATCH(A21,Capacity!$D$3:$D$7,0))</f>
        <v>2632</v>
      </c>
      <c r="J21">
        <f t="shared" si="1"/>
        <v>0</v>
      </c>
      <c r="K21" s="1">
        <f t="shared" si="2"/>
        <v>46063</v>
      </c>
    </row>
    <row r="22" spans="1:11">
      <c r="A22" t="str">
        <f>'Demand Projection'!B22</f>
        <v>SKU PROD C</v>
      </c>
      <c r="B22" s="1">
        <f>'Demand Projection'!C22</f>
        <v>46062</v>
      </c>
      <c r="C22">
        <f>'Demand Projection'!D22</f>
        <v>525</v>
      </c>
      <c r="D22">
        <f>SUMIFS(Warehouse!$D$2:$D$6,Warehouse!$B$2:$B$6,A22)</f>
        <v>1700</v>
      </c>
      <c r="E22">
        <f>SUMIFS($C$2:C22,$A$2:A22,A22)</f>
        <v>3670</v>
      </c>
      <c r="F22">
        <f>SUMIFS($J$2:J21,$A$2:A21,A22,$K$2:K21,"&lt;="&amp;B22)</f>
        <v>2982</v>
      </c>
      <c r="G22">
        <f t="shared" si="0"/>
        <v>1012</v>
      </c>
      <c r="H22">
        <f>INDEX(Capacity!$E$3:$E$7,MATCH(A22,Capacity!$D$3:$D$7,0))</f>
        <v>358</v>
      </c>
      <c r="I22">
        <f>INDEX(Capacity!$F$3:$F$7,MATCH(A22,Capacity!$D$3:$D$7,0))</f>
        <v>1537</v>
      </c>
      <c r="J22">
        <f t="shared" si="1"/>
        <v>0</v>
      </c>
      <c r="K22" s="1">
        <f t="shared" si="2"/>
        <v>46065</v>
      </c>
    </row>
    <row r="23" spans="1:11">
      <c r="A23" t="str">
        <f>'Demand Projection'!B23</f>
        <v>SKU PROD E</v>
      </c>
      <c r="B23" s="1">
        <f>'Demand Projection'!C23</f>
        <v>46065</v>
      </c>
      <c r="C23">
        <f>'Demand Projection'!D23</f>
        <v>420</v>
      </c>
      <c r="D23">
        <f>SUMIFS(Warehouse!$D$2:$D$6,Warehouse!$B$2:$B$6,A23)</f>
        <v>2300</v>
      </c>
      <c r="E23">
        <f>SUMIFS($C$2:C23,$A$2:A23,A23)</f>
        <v>2820</v>
      </c>
      <c r="F23">
        <f>SUMIFS($J$2:J22,$A$2:A22,A23,$K$2:K22,"&lt;="&amp;B23)</f>
        <v>2457</v>
      </c>
      <c r="G23">
        <f t="shared" si="0"/>
        <v>1937</v>
      </c>
      <c r="H23">
        <f>INDEX(Capacity!$E$3:$E$7,MATCH(A23,Capacity!$D$3:$D$7,0))</f>
        <v>250</v>
      </c>
      <c r="I23">
        <f>INDEX(Capacity!$F$3:$F$7,MATCH(A23,Capacity!$D$3:$D$7,0))</f>
        <v>2357</v>
      </c>
      <c r="J23">
        <f t="shared" si="1"/>
        <v>0</v>
      </c>
      <c r="K23" s="1">
        <f t="shared" si="2"/>
        <v>46068</v>
      </c>
    </row>
    <row r="24" spans="1:11">
      <c r="A24" t="str">
        <f>'Demand Projection'!B24</f>
        <v>SKU PROD B</v>
      </c>
      <c r="B24" s="1">
        <f>'Demand Projection'!C24</f>
        <v>46066</v>
      </c>
      <c r="C24">
        <f>'Demand Projection'!D24</f>
        <v>630</v>
      </c>
      <c r="D24">
        <f>SUMIFS(Warehouse!$D$2:$D$6,Warehouse!$B$2:$B$6,A24)</f>
        <v>8000</v>
      </c>
      <c r="E24">
        <f>SUMIFS($C$2:C24,$A$2:A24,A24)</f>
        <v>13530</v>
      </c>
      <c r="F24">
        <f>SUMIFS($J$2:J23,$A$2:A23,A24,$K$2:K23,"&lt;="&amp;B24)</f>
        <v>11470</v>
      </c>
      <c r="G24">
        <f t="shared" si="0"/>
        <v>5940</v>
      </c>
      <c r="H24">
        <f>INDEX(Capacity!$E$3:$E$7,MATCH(A24,Capacity!$D$3:$D$7,0))</f>
        <v>376</v>
      </c>
      <c r="I24">
        <f>INDEX(Capacity!$F$3:$F$7,MATCH(A24,Capacity!$D$3:$D$7,0))</f>
        <v>6570</v>
      </c>
      <c r="J24">
        <f t="shared" si="1"/>
        <v>0</v>
      </c>
      <c r="K24" s="1">
        <f t="shared" si="2"/>
        <v>46069</v>
      </c>
    </row>
    <row r="25" spans="1:11">
      <c r="A25" t="str">
        <f>'Demand Projection'!B25</f>
        <v>SKU PROD D</v>
      </c>
      <c r="B25" s="1">
        <f>'Demand Projection'!C25</f>
        <v>46070</v>
      </c>
      <c r="C25">
        <f>'Demand Projection'!D25</f>
        <v>968</v>
      </c>
      <c r="D25">
        <f>SUMIFS(Warehouse!$D$2:$D$6,Warehouse!$B$2:$B$6,A25)</f>
        <v>3500</v>
      </c>
      <c r="E25">
        <f>SUMIFS($C$2:C25,$A$2:A25,A25)</f>
        <v>6098</v>
      </c>
      <c r="F25">
        <f>SUMIFS($J$2:J24,$A$2:A24,A25,$K$2:K24,"&lt;="&amp;B25)</f>
        <v>4532</v>
      </c>
      <c r="G25">
        <f t="shared" si="0"/>
        <v>1934</v>
      </c>
      <c r="H25">
        <f>INDEX(Capacity!$E$3:$E$7,MATCH(A25,Capacity!$D$3:$D$7,0))</f>
        <v>430</v>
      </c>
      <c r="I25">
        <f>INDEX(Capacity!$F$3:$F$7,MATCH(A25,Capacity!$D$3:$D$7,0))</f>
        <v>3532</v>
      </c>
      <c r="J25">
        <f t="shared" si="1"/>
        <v>0</v>
      </c>
      <c r="K25" s="1">
        <f t="shared" si="2"/>
        <v>46073</v>
      </c>
    </row>
    <row r="26" spans="1:11">
      <c r="A26" t="str">
        <f>'Demand Projection'!B26</f>
        <v>SKU PROD C</v>
      </c>
      <c r="B26" s="1">
        <f>'Demand Projection'!C26</f>
        <v>46073</v>
      </c>
      <c r="C26">
        <f>'Demand Projection'!D26</f>
        <v>860</v>
      </c>
      <c r="D26">
        <f>SUMIFS(Warehouse!$D$2:$D$6,Warehouse!$B$2:$B$6,A26)</f>
        <v>1700</v>
      </c>
      <c r="E26">
        <f>SUMIFS($C$2:C26,$A$2:A26,A26)</f>
        <v>4530</v>
      </c>
      <c r="F26">
        <f>SUMIFS($J$2:J25,$A$2:A25,A26,$K$2:K25,"&lt;="&amp;B26)</f>
        <v>2982</v>
      </c>
      <c r="G26">
        <f t="shared" si="0"/>
        <v>152</v>
      </c>
      <c r="H26">
        <f>INDEX(Capacity!$E$3:$E$7,MATCH(A26,Capacity!$D$3:$D$7,0))</f>
        <v>358</v>
      </c>
      <c r="I26">
        <f>INDEX(Capacity!$F$3:$F$7,MATCH(A26,Capacity!$D$3:$D$7,0))</f>
        <v>1537</v>
      </c>
      <c r="J26">
        <f t="shared" si="1"/>
        <v>1385</v>
      </c>
      <c r="K26" s="1">
        <f t="shared" si="2"/>
        <v>46076</v>
      </c>
    </row>
    <row r="27" spans="1:11">
      <c r="A27" t="str">
        <f>'Demand Projection'!B27</f>
        <v>SKU PROD A</v>
      </c>
      <c r="B27" s="1">
        <f>'Demand Projection'!C27</f>
        <v>46077</v>
      </c>
      <c r="C27">
        <f>'Demand Projection'!D27</f>
        <v>1075</v>
      </c>
      <c r="D27">
        <f>SUMIFS(Warehouse!$D$2:$D$6,Warehouse!$B$2:$B$6,A27)</f>
        <v>2200</v>
      </c>
      <c r="E27">
        <f>SUMIFS($C$2:C27,$A$2:A27,A27)</f>
        <v>6995</v>
      </c>
      <c r="F27">
        <f>SUMIFS($J$2:J26,$A$2:A26,A27,$K$2:K26,"&lt;="&amp;B27)</f>
        <v>7352</v>
      </c>
      <c r="G27">
        <f t="shared" si="0"/>
        <v>2557</v>
      </c>
      <c r="H27">
        <f>INDEX(Capacity!$E$3:$E$7,MATCH(A27,Capacity!$D$3:$D$7,0))</f>
        <v>678</v>
      </c>
      <c r="I27">
        <f>INDEX(Capacity!$F$3:$F$7,MATCH(A27,Capacity!$D$3:$D$7,0))</f>
        <v>2632</v>
      </c>
      <c r="J27">
        <f t="shared" si="1"/>
        <v>0</v>
      </c>
      <c r="K27" s="1">
        <f t="shared" si="2"/>
        <v>46080</v>
      </c>
    </row>
    <row r="28" spans="1:11">
      <c r="A28" t="str">
        <f>'Demand Projection'!B28</f>
        <v>SKU PROD D</v>
      </c>
      <c r="B28" s="1">
        <f>'Demand Projection'!C28</f>
        <v>46081</v>
      </c>
      <c r="C28">
        <f>'Demand Projection'!D28</f>
        <v>3225</v>
      </c>
      <c r="D28">
        <f>SUMIFS(Warehouse!$D$2:$D$6,Warehouse!$B$2:$B$6,A28)</f>
        <v>3500</v>
      </c>
      <c r="E28">
        <f>SUMIFS($C$2:C28,$A$2:A28,A28)</f>
        <v>9323</v>
      </c>
      <c r="F28">
        <f>SUMIFS($J$2:J27,$A$2:A27,A28,$K$2:K27,"&lt;="&amp;B28)</f>
        <v>4532</v>
      </c>
      <c r="G28">
        <f t="shared" si="0"/>
        <v>-1291</v>
      </c>
      <c r="H28">
        <f>INDEX(Capacity!$E$3:$E$7,MATCH(A28,Capacity!$D$3:$D$7,0))</f>
        <v>430</v>
      </c>
      <c r="I28">
        <f>INDEX(Capacity!$F$3:$F$7,MATCH(A28,Capacity!$D$3:$D$7,0))</f>
        <v>3532</v>
      </c>
      <c r="J28">
        <f t="shared" si="1"/>
        <v>4823</v>
      </c>
      <c r="K28" s="1">
        <f t="shared" si="2"/>
        <v>46084</v>
      </c>
    </row>
    <row r="29" spans="1:11">
      <c r="A29" t="str">
        <f>'Demand Projection'!B29</f>
        <v>SKU PROD E</v>
      </c>
      <c r="B29" s="1">
        <f>'Demand Projection'!C29</f>
        <v>46081</v>
      </c>
      <c r="C29">
        <f>'Demand Projection'!D29</f>
        <v>2150</v>
      </c>
      <c r="D29">
        <f>SUMIFS(Warehouse!$D$2:$D$6,Warehouse!$B$2:$B$6,A29)</f>
        <v>2300</v>
      </c>
      <c r="E29">
        <f>SUMIFS($C$2:C29,$A$2:A29,A29)</f>
        <v>4970</v>
      </c>
      <c r="F29">
        <f>SUMIFS($J$2:J28,$A$2:A28,A29,$K$2:K28,"&lt;="&amp;B29)</f>
        <v>2457</v>
      </c>
      <c r="G29">
        <f t="shared" si="0"/>
        <v>-213</v>
      </c>
      <c r="H29">
        <f>INDEX(Capacity!$E$3:$E$7,MATCH(A29,Capacity!$D$3:$D$7,0))</f>
        <v>250</v>
      </c>
      <c r="I29">
        <f>INDEX(Capacity!$F$3:$F$7,MATCH(A29,Capacity!$D$3:$D$7,0))</f>
        <v>2357</v>
      </c>
      <c r="J29">
        <f t="shared" si="1"/>
        <v>2570</v>
      </c>
      <c r="K29" s="1">
        <f t="shared" si="2"/>
        <v>46084</v>
      </c>
    </row>
    <row r="30" spans="1:11">
      <c r="A30" t="str">
        <f>'Demand Projection'!B30</f>
        <v>SKU PROD A</v>
      </c>
      <c r="B30" s="1">
        <f>'Demand Projection'!C30</f>
        <v>46084</v>
      </c>
      <c r="C30">
        <f>'Demand Projection'!D30</f>
        <v>1029</v>
      </c>
      <c r="D30">
        <f>SUMIFS(Warehouse!$D$2:$D$6,Warehouse!$B$2:$B$6,A30)</f>
        <v>2200</v>
      </c>
      <c r="E30">
        <f>SUMIFS($C$2:C30,$A$2:A30,A30)</f>
        <v>8024</v>
      </c>
      <c r="F30">
        <f>SUMIFS($J$2:J29,$A$2:A29,A30,$K$2:K29,"&lt;="&amp;B30)</f>
        <v>7352</v>
      </c>
      <c r="G30">
        <f t="shared" si="0"/>
        <v>1528</v>
      </c>
      <c r="H30">
        <f>INDEX(Capacity!$E$3:$E$7,MATCH(A30,Capacity!$D$3:$D$7,0))</f>
        <v>678</v>
      </c>
      <c r="I30">
        <f>INDEX(Capacity!$F$3:$F$7,MATCH(A30,Capacity!$D$3:$D$7,0))</f>
        <v>2632</v>
      </c>
      <c r="J30">
        <f t="shared" si="1"/>
        <v>0</v>
      </c>
      <c r="K30" s="1">
        <f t="shared" si="2"/>
        <v>46087</v>
      </c>
    </row>
    <row r="31" spans="1:11">
      <c r="A31" t="str">
        <f>'Demand Projection'!B31</f>
        <v>SKU PROD B</v>
      </c>
      <c r="B31" s="1">
        <f>'Demand Projection'!C31</f>
        <v>46084</v>
      </c>
      <c r="C31">
        <f>'Demand Projection'!D31</f>
        <v>6174</v>
      </c>
      <c r="D31">
        <f>SUMIFS(Warehouse!$D$2:$D$6,Warehouse!$B$2:$B$6,A31)</f>
        <v>8000</v>
      </c>
      <c r="E31">
        <f>SUMIFS($C$2:C31,$A$2:A31,A31)</f>
        <v>19704</v>
      </c>
      <c r="F31">
        <f>SUMIFS($J$2:J30,$A$2:A30,A31,$K$2:K30,"&lt;="&amp;B31)</f>
        <v>11470</v>
      </c>
      <c r="G31">
        <f t="shared" si="0"/>
        <v>-234</v>
      </c>
      <c r="H31">
        <f>INDEX(Capacity!$E$3:$E$7,MATCH(A31,Capacity!$D$3:$D$7,0))</f>
        <v>376</v>
      </c>
      <c r="I31">
        <f>INDEX(Capacity!$F$3:$F$7,MATCH(A31,Capacity!$D$3:$D$7,0))</f>
        <v>6570</v>
      </c>
      <c r="J31">
        <f t="shared" si="1"/>
        <v>6804</v>
      </c>
      <c r="K31" s="1">
        <f t="shared" si="2"/>
        <v>46087</v>
      </c>
    </row>
    <row r="32" spans="1:11">
      <c r="A32" t="str">
        <f>'Demand Projection'!B32</f>
        <v>SKU PROD A</v>
      </c>
      <c r="B32" s="1">
        <f>'Demand Projection'!C32</f>
        <v>46085</v>
      </c>
      <c r="C32">
        <f>'Demand Projection'!D32</f>
        <v>412</v>
      </c>
      <c r="D32">
        <f>SUMIFS(Warehouse!$D$2:$D$6,Warehouse!$B$2:$B$6,A32)</f>
        <v>2200</v>
      </c>
      <c r="E32">
        <f>SUMIFS($C$2:C32,$A$2:A32,A32)</f>
        <v>8436</v>
      </c>
      <c r="F32">
        <f>SUMIFS($J$2:J31,$A$2:A31,A32,$K$2:K31,"&lt;="&amp;B32)</f>
        <v>7352</v>
      </c>
      <c r="G32">
        <f t="shared" si="0"/>
        <v>1116</v>
      </c>
      <c r="H32">
        <f>INDEX(Capacity!$E$3:$E$7,MATCH(A32,Capacity!$D$3:$D$7,0))</f>
        <v>678</v>
      </c>
      <c r="I32">
        <f>INDEX(Capacity!$F$3:$F$7,MATCH(A32,Capacity!$D$3:$D$7,0))</f>
        <v>2632</v>
      </c>
      <c r="J32">
        <f t="shared" si="1"/>
        <v>0</v>
      </c>
      <c r="K32" s="1">
        <f t="shared" si="2"/>
        <v>46088</v>
      </c>
    </row>
    <row r="33" spans="1:11">
      <c r="A33" t="str">
        <f>'Demand Projection'!B33</f>
        <v>SKU PROD C</v>
      </c>
      <c r="B33" s="1">
        <f>'Demand Projection'!C33</f>
        <v>46086</v>
      </c>
      <c r="C33">
        <f>'Demand Projection'!D33</f>
        <v>927</v>
      </c>
      <c r="D33">
        <f>SUMIFS(Warehouse!$D$2:$D$6,Warehouse!$B$2:$B$6,A33)</f>
        <v>1700</v>
      </c>
      <c r="E33">
        <f>SUMIFS($C$2:C33,$A$2:A33,A33)</f>
        <v>5457</v>
      </c>
      <c r="F33">
        <f>SUMIFS($J$2:J32,$A$2:A32,A33,$K$2:K32,"&lt;="&amp;B33)</f>
        <v>4367</v>
      </c>
      <c r="G33">
        <f t="shared" si="0"/>
        <v>610</v>
      </c>
      <c r="H33">
        <f>INDEX(Capacity!$E$3:$E$7,MATCH(A33,Capacity!$D$3:$D$7,0))</f>
        <v>358</v>
      </c>
      <c r="I33">
        <f>INDEX(Capacity!$F$3:$F$7,MATCH(A33,Capacity!$D$3:$D$7,0))</f>
        <v>1537</v>
      </c>
      <c r="J33">
        <f t="shared" si="1"/>
        <v>0</v>
      </c>
      <c r="K33" s="1">
        <f t="shared" si="2"/>
        <v>46089</v>
      </c>
    </row>
    <row r="34" spans="1:11">
      <c r="A34" t="str">
        <f>'Demand Projection'!B34</f>
        <v>SKU PROD D</v>
      </c>
      <c r="B34" s="1">
        <f>'Demand Projection'!C34</f>
        <v>46087</v>
      </c>
      <c r="C34">
        <f>'Demand Projection'!D34</f>
        <v>618</v>
      </c>
      <c r="D34">
        <f>SUMIFS(Warehouse!$D$2:$D$6,Warehouse!$B$2:$B$6,A34)</f>
        <v>3500</v>
      </c>
      <c r="E34">
        <f>SUMIFS($C$2:C34,$A$2:A34,A34)</f>
        <v>9941</v>
      </c>
      <c r="F34">
        <f>SUMIFS($J$2:J33,$A$2:A33,A34,$K$2:K33,"&lt;="&amp;B34)</f>
        <v>9355</v>
      </c>
      <c r="G34">
        <f t="shared" si="0"/>
        <v>2914</v>
      </c>
      <c r="H34">
        <f>INDEX(Capacity!$E$3:$E$7,MATCH(A34,Capacity!$D$3:$D$7,0))</f>
        <v>430</v>
      </c>
      <c r="I34">
        <f>INDEX(Capacity!$F$3:$F$7,MATCH(A34,Capacity!$D$3:$D$7,0))</f>
        <v>3532</v>
      </c>
      <c r="J34">
        <f t="shared" si="1"/>
        <v>0</v>
      </c>
      <c r="K34" s="1">
        <f t="shared" si="2"/>
        <v>46090</v>
      </c>
    </row>
    <row r="35" spans="1:11">
      <c r="A35" t="str">
        <f>'Demand Projection'!B35</f>
        <v>SKU PROD A</v>
      </c>
      <c r="B35" s="1">
        <f>'Demand Projection'!C35</f>
        <v>46088</v>
      </c>
      <c r="C35">
        <f>'Demand Projection'!D35</f>
        <v>1029</v>
      </c>
      <c r="D35">
        <f>SUMIFS(Warehouse!$D$2:$D$6,Warehouse!$B$2:$B$6,A35)</f>
        <v>2200</v>
      </c>
      <c r="E35">
        <f>SUMIFS($C$2:C35,$A$2:A35,A35)</f>
        <v>9465</v>
      </c>
      <c r="F35">
        <f>SUMIFS($J$2:J34,$A$2:A34,A35,$K$2:K34,"&lt;="&amp;B35)</f>
        <v>7352</v>
      </c>
      <c r="G35">
        <f t="shared" si="0"/>
        <v>87</v>
      </c>
      <c r="H35">
        <f>INDEX(Capacity!$E$3:$E$7,MATCH(A35,Capacity!$D$3:$D$7,0))</f>
        <v>678</v>
      </c>
      <c r="I35">
        <f>INDEX(Capacity!$F$3:$F$7,MATCH(A35,Capacity!$D$3:$D$7,0))</f>
        <v>2632</v>
      </c>
      <c r="J35">
        <f t="shared" si="1"/>
        <v>2545</v>
      </c>
      <c r="K35" s="1">
        <f t="shared" si="2"/>
        <v>46091</v>
      </c>
    </row>
    <row r="36" spans="1:11">
      <c r="A36" t="str">
        <f>'Demand Projection'!B36</f>
        <v>SKU PROD C</v>
      </c>
      <c r="B36" s="1">
        <f>'Demand Projection'!C36</f>
        <v>46090</v>
      </c>
      <c r="C36">
        <f>'Demand Projection'!D36</f>
        <v>515</v>
      </c>
      <c r="D36">
        <f>SUMIFS(Warehouse!$D$2:$D$6,Warehouse!$B$2:$B$6,A36)</f>
        <v>1700</v>
      </c>
      <c r="E36">
        <f>SUMIFS($C$2:C36,$A$2:A36,A36)</f>
        <v>5972</v>
      </c>
      <c r="F36">
        <f>SUMIFS($J$2:J35,$A$2:A35,A36,$K$2:K35,"&lt;="&amp;B36)</f>
        <v>4367</v>
      </c>
      <c r="G36">
        <f t="shared" si="0"/>
        <v>95</v>
      </c>
      <c r="H36">
        <f>INDEX(Capacity!$E$3:$E$7,MATCH(A36,Capacity!$D$3:$D$7,0))</f>
        <v>358</v>
      </c>
      <c r="I36">
        <f>INDEX(Capacity!$F$3:$F$7,MATCH(A36,Capacity!$D$3:$D$7,0))</f>
        <v>1537</v>
      </c>
      <c r="J36">
        <f t="shared" si="1"/>
        <v>1442</v>
      </c>
      <c r="K36" s="1">
        <f t="shared" si="2"/>
        <v>46093</v>
      </c>
    </row>
    <row r="37" spans="1:11">
      <c r="A37" t="str">
        <f>'Demand Projection'!B37</f>
        <v>SKU PROD E</v>
      </c>
      <c r="B37" s="1">
        <f>'Demand Projection'!C37</f>
        <v>46093</v>
      </c>
      <c r="C37">
        <f>'Demand Projection'!D37</f>
        <v>412</v>
      </c>
      <c r="D37">
        <f>SUMIFS(Warehouse!$D$2:$D$6,Warehouse!$B$2:$B$6,A37)</f>
        <v>2300</v>
      </c>
      <c r="E37">
        <f>SUMIFS($C$2:C37,$A$2:A37,A37)</f>
        <v>5382</v>
      </c>
      <c r="F37">
        <f>SUMIFS($J$2:J36,$A$2:A36,A37,$K$2:K36,"&lt;="&amp;B37)</f>
        <v>5027</v>
      </c>
      <c r="G37">
        <f t="shared" si="0"/>
        <v>1945</v>
      </c>
      <c r="H37">
        <f>INDEX(Capacity!$E$3:$E$7,MATCH(A37,Capacity!$D$3:$D$7,0))</f>
        <v>250</v>
      </c>
      <c r="I37">
        <f>INDEX(Capacity!$F$3:$F$7,MATCH(A37,Capacity!$D$3:$D$7,0))</f>
        <v>2357</v>
      </c>
      <c r="J37">
        <f t="shared" si="1"/>
        <v>0</v>
      </c>
      <c r="K37" s="1">
        <f t="shared" si="2"/>
        <v>46096</v>
      </c>
    </row>
    <row r="38" spans="1:11">
      <c r="A38" t="str">
        <f>'Demand Projection'!B38</f>
        <v>SKU PROD B</v>
      </c>
      <c r="B38" s="1">
        <f>'Demand Projection'!C38</f>
        <v>46094</v>
      </c>
      <c r="C38">
        <f>'Demand Projection'!D38</f>
        <v>618</v>
      </c>
      <c r="D38">
        <f>SUMIFS(Warehouse!$D$2:$D$6,Warehouse!$B$2:$B$6,A38)</f>
        <v>8000</v>
      </c>
      <c r="E38">
        <f>SUMIFS($C$2:C38,$A$2:A38,A38)</f>
        <v>20322</v>
      </c>
      <c r="F38">
        <f>SUMIFS($J$2:J37,$A$2:A37,A38,$K$2:K37,"&lt;="&amp;B38)</f>
        <v>18274</v>
      </c>
      <c r="G38">
        <f t="shared" si="0"/>
        <v>5952</v>
      </c>
      <c r="H38">
        <f>INDEX(Capacity!$E$3:$E$7,MATCH(A38,Capacity!$D$3:$D$7,0))</f>
        <v>376</v>
      </c>
      <c r="I38">
        <f>INDEX(Capacity!$F$3:$F$7,MATCH(A38,Capacity!$D$3:$D$7,0))</f>
        <v>6570</v>
      </c>
      <c r="J38">
        <f t="shared" si="1"/>
        <v>0</v>
      </c>
      <c r="K38" s="1">
        <f t="shared" si="2"/>
        <v>46097</v>
      </c>
    </row>
    <row r="39" spans="1:11">
      <c r="A39" t="str">
        <f>'Demand Projection'!B39</f>
        <v>SKU PROD D</v>
      </c>
      <c r="B39" s="1">
        <f>'Demand Projection'!C39</f>
        <v>46098</v>
      </c>
      <c r="C39">
        <f>'Demand Projection'!D39</f>
        <v>949</v>
      </c>
      <c r="D39">
        <f>SUMIFS(Warehouse!$D$2:$D$6,Warehouse!$B$2:$B$6,A39)</f>
        <v>3500</v>
      </c>
      <c r="E39">
        <f>SUMIFS($C$2:C39,$A$2:A39,A39)</f>
        <v>10890</v>
      </c>
      <c r="F39">
        <f>SUMIFS($J$2:J38,$A$2:A38,A39,$K$2:K38,"&lt;="&amp;B39)</f>
        <v>9355</v>
      </c>
      <c r="G39">
        <f t="shared" si="0"/>
        <v>1965</v>
      </c>
      <c r="H39">
        <f>INDEX(Capacity!$E$3:$E$7,MATCH(A39,Capacity!$D$3:$D$7,0))</f>
        <v>430</v>
      </c>
      <c r="I39">
        <f>INDEX(Capacity!$F$3:$F$7,MATCH(A39,Capacity!$D$3:$D$7,0))</f>
        <v>3532</v>
      </c>
      <c r="J39">
        <f t="shared" si="1"/>
        <v>0</v>
      </c>
      <c r="K39" s="1">
        <f t="shared" si="2"/>
        <v>46101</v>
      </c>
    </row>
    <row r="40" spans="1:11">
      <c r="A40" t="str">
        <f>'Demand Projection'!B40</f>
        <v>SKU PROD C</v>
      </c>
      <c r="B40" s="1">
        <f>'Demand Projection'!C40</f>
        <v>46101</v>
      </c>
      <c r="C40">
        <f>'Demand Projection'!D40</f>
        <v>873</v>
      </c>
      <c r="D40">
        <f>SUMIFS(Warehouse!$D$2:$D$6,Warehouse!$B$2:$B$6,A40)</f>
        <v>1700</v>
      </c>
      <c r="E40">
        <f>SUMIFS($C$2:C40,$A$2:A40,A40)</f>
        <v>6845</v>
      </c>
      <c r="F40">
        <f>SUMIFS($J$2:J39,$A$2:A39,A40,$K$2:K39,"&lt;="&amp;B40)</f>
        <v>5809</v>
      </c>
      <c r="G40">
        <f t="shared" si="0"/>
        <v>664</v>
      </c>
      <c r="H40">
        <f>INDEX(Capacity!$E$3:$E$7,MATCH(A40,Capacity!$D$3:$D$7,0))</f>
        <v>358</v>
      </c>
      <c r="I40">
        <f>INDEX(Capacity!$F$3:$F$7,MATCH(A40,Capacity!$D$3:$D$7,0))</f>
        <v>1537</v>
      </c>
      <c r="J40">
        <f t="shared" si="1"/>
        <v>0</v>
      </c>
      <c r="K40" s="1">
        <f t="shared" si="2"/>
        <v>46104</v>
      </c>
    </row>
    <row r="41" spans="1:11">
      <c r="A41" t="str">
        <f>'Demand Projection'!B41</f>
        <v>SKU PROD A</v>
      </c>
      <c r="B41" s="1">
        <f>'Demand Projection'!C41</f>
        <v>46105</v>
      </c>
      <c r="C41">
        <f>'Demand Projection'!D41</f>
        <v>1092</v>
      </c>
      <c r="D41">
        <f>SUMIFS(Warehouse!$D$2:$D$6,Warehouse!$B$2:$B$6,A41)</f>
        <v>2200</v>
      </c>
      <c r="E41">
        <f>SUMIFS($C$2:C41,$A$2:A41,A41)</f>
        <v>10557</v>
      </c>
      <c r="F41">
        <f>SUMIFS($J$2:J40,$A$2:A40,A41,$K$2:K40,"&lt;="&amp;B41)</f>
        <v>9897</v>
      </c>
      <c r="G41">
        <f t="shared" si="0"/>
        <v>1540</v>
      </c>
      <c r="H41">
        <f>INDEX(Capacity!$E$3:$E$7,MATCH(A41,Capacity!$D$3:$D$7,0))</f>
        <v>678</v>
      </c>
      <c r="I41">
        <f>INDEX(Capacity!$F$3:$F$7,MATCH(A41,Capacity!$D$3:$D$7,0))</f>
        <v>2632</v>
      </c>
      <c r="J41">
        <f t="shared" si="1"/>
        <v>0</v>
      </c>
      <c r="K41" s="1">
        <f t="shared" si="2"/>
        <v>46108</v>
      </c>
    </row>
    <row r="42" spans="1:11">
      <c r="A42" t="str">
        <f>'Demand Projection'!B42</f>
        <v>SKU PROD D</v>
      </c>
      <c r="B42" s="1">
        <f>'Demand Projection'!C42</f>
        <v>46109</v>
      </c>
      <c r="C42">
        <f>'Demand Projection'!D42</f>
        <v>3274</v>
      </c>
      <c r="D42">
        <f>SUMIFS(Warehouse!$D$2:$D$6,Warehouse!$B$2:$B$6,A42)</f>
        <v>3500</v>
      </c>
      <c r="E42">
        <f>SUMIFS($C$2:C42,$A$2:A42,A42)</f>
        <v>14164</v>
      </c>
      <c r="F42">
        <f>SUMIFS($J$2:J41,$A$2:A41,A42,$K$2:K41,"&lt;="&amp;B42)</f>
        <v>9355</v>
      </c>
      <c r="G42">
        <f t="shared" si="0"/>
        <v>-1309</v>
      </c>
      <c r="H42">
        <f>INDEX(Capacity!$E$3:$E$7,MATCH(A42,Capacity!$D$3:$D$7,0))</f>
        <v>430</v>
      </c>
      <c r="I42">
        <f>INDEX(Capacity!$F$3:$F$7,MATCH(A42,Capacity!$D$3:$D$7,0))</f>
        <v>3532</v>
      </c>
      <c r="J42">
        <f t="shared" si="1"/>
        <v>4841</v>
      </c>
      <c r="K42" s="1">
        <f t="shared" si="2"/>
        <v>46112</v>
      </c>
    </row>
    <row r="43" spans="1:11">
      <c r="A43" t="str">
        <f>'Demand Projection'!B43</f>
        <v>SKU PROD E</v>
      </c>
      <c r="B43" s="1">
        <f>'Demand Projection'!C43</f>
        <v>46109</v>
      </c>
      <c r="C43">
        <f>'Demand Projection'!D43</f>
        <v>2183</v>
      </c>
      <c r="D43">
        <f>SUMIFS(Warehouse!$D$2:$D$6,Warehouse!$B$2:$B$6,A43)</f>
        <v>2300</v>
      </c>
      <c r="E43">
        <f>SUMIFS($C$2:C43,$A$2:A43,A43)</f>
        <v>7565</v>
      </c>
      <c r="F43">
        <f>SUMIFS($J$2:J42,$A$2:A42,A43,$K$2:K42,"&lt;="&amp;B43)</f>
        <v>5027</v>
      </c>
      <c r="G43">
        <f t="shared" si="0"/>
        <v>-238</v>
      </c>
      <c r="H43">
        <f>INDEX(Capacity!$E$3:$E$7,MATCH(A43,Capacity!$D$3:$D$7,0))</f>
        <v>250</v>
      </c>
      <c r="I43">
        <f>INDEX(Capacity!$F$3:$F$7,MATCH(A43,Capacity!$D$3:$D$7,0))</f>
        <v>2357</v>
      </c>
      <c r="J43">
        <f t="shared" si="1"/>
        <v>2595</v>
      </c>
      <c r="K43" s="1">
        <f t="shared" si="2"/>
        <v>46112</v>
      </c>
    </row>
    <row r="44" spans="1:11">
      <c r="A44" t="str">
        <f>'Demand Projection'!B44</f>
        <v>SKU PROD A</v>
      </c>
      <c r="B44" s="1">
        <f>'Demand Projection'!C44</f>
        <v>46115</v>
      </c>
      <c r="C44">
        <f>'Demand Projection'!D44</f>
        <v>1055</v>
      </c>
      <c r="D44">
        <f>SUMIFS(Warehouse!$D$2:$D$6,Warehouse!$B$2:$B$6,A44)</f>
        <v>2200</v>
      </c>
      <c r="E44">
        <f>SUMIFS($C$2:C44,$A$2:A44,A44)</f>
        <v>11612</v>
      </c>
      <c r="F44">
        <f>SUMIFS($J$2:J43,$A$2:A43,A44,$K$2:K43,"&lt;="&amp;B44)</f>
        <v>9897</v>
      </c>
      <c r="G44">
        <f t="shared" si="0"/>
        <v>485</v>
      </c>
      <c r="H44">
        <f>INDEX(Capacity!$E$3:$E$7,MATCH(A44,Capacity!$D$3:$D$7,0))</f>
        <v>678</v>
      </c>
      <c r="I44">
        <f>INDEX(Capacity!$F$3:$F$7,MATCH(A44,Capacity!$D$3:$D$7,0))</f>
        <v>2632</v>
      </c>
      <c r="J44">
        <f t="shared" si="1"/>
        <v>2147</v>
      </c>
      <c r="K44" s="1">
        <f t="shared" si="2"/>
        <v>46118</v>
      </c>
    </row>
    <row r="45" spans="1:11">
      <c r="A45" t="str">
        <f>'Demand Projection'!B45</f>
        <v>SKU PROD B</v>
      </c>
      <c r="B45" s="1">
        <f>'Demand Projection'!C45</f>
        <v>46115</v>
      </c>
      <c r="C45">
        <f>'Demand Projection'!D45</f>
        <v>6329</v>
      </c>
      <c r="D45">
        <f>SUMIFS(Warehouse!$D$2:$D$6,Warehouse!$B$2:$B$6,A45)</f>
        <v>8000</v>
      </c>
      <c r="E45">
        <f>SUMIFS($C$2:C45,$A$2:A45,A45)</f>
        <v>26651</v>
      </c>
      <c r="F45">
        <f>SUMIFS($J$2:J44,$A$2:A44,A45,$K$2:K44,"&lt;="&amp;B45)</f>
        <v>18274</v>
      </c>
      <c r="G45">
        <f t="shared" si="0"/>
        <v>-377</v>
      </c>
      <c r="H45">
        <f>INDEX(Capacity!$E$3:$E$7,MATCH(A45,Capacity!$D$3:$D$7,0))</f>
        <v>376</v>
      </c>
      <c r="I45">
        <f>INDEX(Capacity!$F$3:$F$7,MATCH(A45,Capacity!$D$3:$D$7,0))</f>
        <v>6570</v>
      </c>
      <c r="J45">
        <f t="shared" si="1"/>
        <v>6947</v>
      </c>
      <c r="K45" s="1">
        <f t="shared" si="2"/>
        <v>46118</v>
      </c>
    </row>
    <row r="46" spans="1:11">
      <c r="A46" t="str">
        <f>'Demand Projection'!B46</f>
        <v>SKU PROD A</v>
      </c>
      <c r="B46" s="1">
        <f>'Demand Projection'!C46</f>
        <v>46116</v>
      </c>
      <c r="C46">
        <f>'Demand Projection'!D46</f>
        <v>423</v>
      </c>
      <c r="D46">
        <f>SUMIFS(Warehouse!$D$2:$D$6,Warehouse!$B$2:$B$6,A46)</f>
        <v>2200</v>
      </c>
      <c r="E46">
        <f>SUMIFS($C$2:C46,$A$2:A46,A46)</f>
        <v>12035</v>
      </c>
      <c r="F46">
        <f>SUMIFS($J$2:J45,$A$2:A45,A46,$K$2:K45,"&lt;="&amp;B46)</f>
        <v>9897</v>
      </c>
      <c r="G46">
        <f t="shared" si="0"/>
        <v>62</v>
      </c>
      <c r="H46">
        <f>INDEX(Capacity!$E$3:$E$7,MATCH(A46,Capacity!$D$3:$D$7,0))</f>
        <v>678</v>
      </c>
      <c r="I46">
        <f>INDEX(Capacity!$F$3:$F$7,MATCH(A46,Capacity!$D$3:$D$7,0))</f>
        <v>2632</v>
      </c>
      <c r="J46">
        <f t="shared" si="1"/>
        <v>2570</v>
      </c>
      <c r="K46" s="1">
        <f t="shared" si="2"/>
        <v>46119</v>
      </c>
    </row>
    <row r="47" spans="1:11">
      <c r="A47" t="str">
        <f>'Demand Projection'!B47</f>
        <v>SKU PROD C</v>
      </c>
      <c r="B47" s="1">
        <f>'Demand Projection'!C47</f>
        <v>46117</v>
      </c>
      <c r="C47">
        <f>'Demand Projection'!D47</f>
        <v>951</v>
      </c>
      <c r="D47">
        <f>SUMIFS(Warehouse!$D$2:$D$6,Warehouse!$B$2:$B$6,A47)</f>
        <v>1700</v>
      </c>
      <c r="E47">
        <f>SUMIFS($C$2:C47,$A$2:A47,A47)</f>
        <v>7796</v>
      </c>
      <c r="F47">
        <f>SUMIFS($J$2:J46,$A$2:A46,A47,$K$2:K46,"&lt;="&amp;B47)</f>
        <v>5809</v>
      </c>
      <c r="G47">
        <f t="shared" si="0"/>
        <v>-287</v>
      </c>
      <c r="H47">
        <f>INDEX(Capacity!$E$3:$E$7,MATCH(A47,Capacity!$D$3:$D$7,0))</f>
        <v>358</v>
      </c>
      <c r="I47">
        <f>INDEX(Capacity!$F$3:$F$7,MATCH(A47,Capacity!$D$3:$D$7,0))</f>
        <v>1537</v>
      </c>
      <c r="J47">
        <f t="shared" si="1"/>
        <v>1824</v>
      </c>
      <c r="K47" s="1">
        <f t="shared" si="2"/>
        <v>46120</v>
      </c>
    </row>
    <row r="48" spans="1:11">
      <c r="A48" t="str">
        <f>'Demand Projection'!B48</f>
        <v>SKU PROD D</v>
      </c>
      <c r="B48" s="1">
        <f>'Demand Projection'!C48</f>
        <v>46118</v>
      </c>
      <c r="C48">
        <f>'Demand Projection'!D48</f>
        <v>634</v>
      </c>
      <c r="D48">
        <f>SUMIFS(Warehouse!$D$2:$D$6,Warehouse!$B$2:$B$6,A48)</f>
        <v>3500</v>
      </c>
      <c r="E48">
        <f>SUMIFS($C$2:C48,$A$2:A48,A48)</f>
        <v>14798</v>
      </c>
      <c r="F48">
        <f>SUMIFS($J$2:J47,$A$2:A47,A48,$K$2:K47,"&lt;="&amp;B48)</f>
        <v>14196</v>
      </c>
      <c r="G48">
        <f t="shared" si="0"/>
        <v>2898</v>
      </c>
      <c r="H48">
        <f>INDEX(Capacity!$E$3:$E$7,MATCH(A48,Capacity!$D$3:$D$7,0))</f>
        <v>430</v>
      </c>
      <c r="I48">
        <f>INDEX(Capacity!$F$3:$F$7,MATCH(A48,Capacity!$D$3:$D$7,0))</f>
        <v>3532</v>
      </c>
      <c r="J48">
        <f t="shared" si="1"/>
        <v>0</v>
      </c>
      <c r="K48" s="1">
        <f t="shared" si="2"/>
        <v>46121</v>
      </c>
    </row>
    <row r="49" spans="1:11">
      <c r="A49" t="str">
        <f>'Demand Projection'!B49</f>
        <v>SKU PROD A</v>
      </c>
      <c r="B49" s="1">
        <f>'Demand Projection'!C49</f>
        <v>46119</v>
      </c>
      <c r="C49">
        <f>'Demand Projection'!D49</f>
        <v>1055</v>
      </c>
      <c r="D49">
        <f>SUMIFS(Warehouse!$D$2:$D$6,Warehouse!$B$2:$B$6,A49)</f>
        <v>2200</v>
      </c>
      <c r="E49">
        <f>SUMIFS($C$2:C49,$A$2:A49,A49)</f>
        <v>13090</v>
      </c>
      <c r="F49">
        <f>SUMIFS($J$2:J48,$A$2:A48,A49,$K$2:K48,"&lt;="&amp;B49)</f>
        <v>14614</v>
      </c>
      <c r="G49">
        <f t="shared" si="0"/>
        <v>3724</v>
      </c>
      <c r="H49">
        <f>INDEX(Capacity!$E$3:$E$7,MATCH(A49,Capacity!$D$3:$D$7,0))</f>
        <v>678</v>
      </c>
      <c r="I49">
        <f>INDEX(Capacity!$F$3:$F$7,MATCH(A49,Capacity!$D$3:$D$7,0))</f>
        <v>2632</v>
      </c>
      <c r="J49">
        <f t="shared" si="1"/>
        <v>0</v>
      </c>
      <c r="K49" s="1">
        <f t="shared" si="2"/>
        <v>46122</v>
      </c>
    </row>
    <row r="50" spans="1:11">
      <c r="A50" t="str">
        <f>'Demand Projection'!B50</f>
        <v>SKU PROD C</v>
      </c>
      <c r="B50" s="1">
        <f>'Demand Projection'!C50</f>
        <v>46121</v>
      </c>
      <c r="C50">
        <f>'Demand Projection'!D50</f>
        <v>528</v>
      </c>
      <c r="D50">
        <f>SUMIFS(Warehouse!$D$2:$D$6,Warehouse!$B$2:$B$6,A50)</f>
        <v>1700</v>
      </c>
      <c r="E50">
        <f>SUMIFS($C$2:C50,$A$2:A50,A50)</f>
        <v>8324</v>
      </c>
      <c r="F50">
        <f>SUMIFS($J$2:J49,$A$2:A49,A50,$K$2:K49,"&lt;="&amp;B50)</f>
        <v>7633</v>
      </c>
      <c r="G50">
        <f t="shared" si="0"/>
        <v>1009</v>
      </c>
      <c r="H50">
        <f>INDEX(Capacity!$E$3:$E$7,MATCH(A50,Capacity!$D$3:$D$7,0))</f>
        <v>358</v>
      </c>
      <c r="I50">
        <f>INDEX(Capacity!$F$3:$F$7,MATCH(A50,Capacity!$D$3:$D$7,0))</f>
        <v>1537</v>
      </c>
      <c r="J50">
        <f t="shared" si="1"/>
        <v>0</v>
      </c>
      <c r="K50" s="1">
        <f t="shared" si="2"/>
        <v>46124</v>
      </c>
    </row>
    <row r="51" spans="1:11">
      <c r="A51" t="str">
        <f>'Demand Projection'!B51</f>
        <v>SKU PROD E</v>
      </c>
      <c r="B51" s="1">
        <f>'Demand Projection'!C51</f>
        <v>46124</v>
      </c>
      <c r="C51">
        <f>'Demand Projection'!D51</f>
        <v>423</v>
      </c>
      <c r="D51">
        <f>SUMIFS(Warehouse!$D$2:$D$6,Warehouse!$B$2:$B$6,A51)</f>
        <v>2300</v>
      </c>
      <c r="E51">
        <f>SUMIFS($C$2:C51,$A$2:A51,A51)</f>
        <v>7988</v>
      </c>
      <c r="F51">
        <f>SUMIFS($J$2:J50,$A$2:A50,A51,$K$2:K50,"&lt;="&amp;B51)</f>
        <v>7622</v>
      </c>
      <c r="G51">
        <f t="shared" si="0"/>
        <v>1934</v>
      </c>
      <c r="H51">
        <f>INDEX(Capacity!$E$3:$E$7,MATCH(A51,Capacity!$D$3:$D$7,0))</f>
        <v>250</v>
      </c>
      <c r="I51">
        <f>INDEX(Capacity!$F$3:$F$7,MATCH(A51,Capacity!$D$3:$D$7,0))</f>
        <v>2357</v>
      </c>
      <c r="J51">
        <f t="shared" si="1"/>
        <v>0</v>
      </c>
      <c r="K51" s="1">
        <f t="shared" si="2"/>
        <v>46127</v>
      </c>
    </row>
    <row r="52" spans="1:11">
      <c r="A52" t="str">
        <f>'Demand Projection'!B52</f>
        <v>SKU PROD B</v>
      </c>
      <c r="B52" s="1">
        <f>'Demand Projection'!C52</f>
        <v>46125</v>
      </c>
      <c r="C52">
        <f>'Demand Projection'!D52</f>
        <v>634</v>
      </c>
      <c r="D52">
        <f>SUMIFS(Warehouse!$D$2:$D$6,Warehouse!$B$2:$B$6,A52)</f>
        <v>8000</v>
      </c>
      <c r="E52">
        <f>SUMIFS($C$2:C52,$A$2:A52,A52)</f>
        <v>27285</v>
      </c>
      <c r="F52">
        <f>SUMIFS($J$2:J51,$A$2:A51,A52,$K$2:K51,"&lt;="&amp;B52)</f>
        <v>25221</v>
      </c>
      <c r="G52">
        <f t="shared" si="0"/>
        <v>5936</v>
      </c>
      <c r="H52">
        <f>INDEX(Capacity!$E$3:$E$7,MATCH(A52,Capacity!$D$3:$D$7,0))</f>
        <v>376</v>
      </c>
      <c r="I52">
        <f>INDEX(Capacity!$F$3:$F$7,MATCH(A52,Capacity!$D$3:$D$7,0))</f>
        <v>6570</v>
      </c>
      <c r="J52">
        <f t="shared" si="1"/>
        <v>0</v>
      </c>
      <c r="K52" s="1">
        <f t="shared" si="2"/>
        <v>46128</v>
      </c>
    </row>
    <row r="53" spans="1:11">
      <c r="A53" t="str">
        <f>'Demand Projection'!B53</f>
        <v>SKU PROD D</v>
      </c>
      <c r="B53" s="1">
        <f>'Demand Projection'!C53</f>
        <v>46129</v>
      </c>
      <c r="C53">
        <f>'Demand Projection'!D53</f>
        <v>902</v>
      </c>
      <c r="D53">
        <f>SUMIFS(Warehouse!$D$2:$D$6,Warehouse!$B$2:$B$6,A53)</f>
        <v>3500</v>
      </c>
      <c r="E53">
        <f>SUMIFS($C$2:C53,$A$2:A53,A53)</f>
        <v>15700</v>
      </c>
      <c r="F53">
        <f>SUMIFS($J$2:J52,$A$2:A52,A53,$K$2:K52,"&lt;="&amp;B53)</f>
        <v>14196</v>
      </c>
      <c r="G53">
        <f t="shared" si="0"/>
        <v>1996</v>
      </c>
      <c r="H53">
        <f>INDEX(Capacity!$E$3:$E$7,MATCH(A53,Capacity!$D$3:$D$7,0))</f>
        <v>430</v>
      </c>
      <c r="I53">
        <f>INDEX(Capacity!$F$3:$F$7,MATCH(A53,Capacity!$D$3:$D$7,0))</f>
        <v>3532</v>
      </c>
      <c r="J53">
        <f t="shared" si="1"/>
        <v>0</v>
      </c>
      <c r="K53" s="1">
        <f t="shared" si="2"/>
        <v>46132</v>
      </c>
    </row>
    <row r="54" spans="1:11">
      <c r="A54" t="str">
        <f>'Demand Projection'!B54</f>
        <v>SKU PROD C</v>
      </c>
      <c r="B54" s="1">
        <f>'Demand Projection'!C54</f>
        <v>46132</v>
      </c>
      <c r="C54">
        <f>'Demand Projection'!D54</f>
        <v>830</v>
      </c>
      <c r="D54">
        <f>SUMIFS(Warehouse!$D$2:$D$6,Warehouse!$B$2:$B$6,A54)</f>
        <v>1700</v>
      </c>
      <c r="E54">
        <f>SUMIFS($C$2:C54,$A$2:A54,A54)</f>
        <v>9154</v>
      </c>
      <c r="F54">
        <f>SUMIFS($J$2:J53,$A$2:A53,A54,$K$2:K53,"&lt;="&amp;B54)</f>
        <v>7633</v>
      </c>
      <c r="G54">
        <f t="shared" si="0"/>
        <v>179</v>
      </c>
      <c r="H54">
        <f>INDEX(Capacity!$E$3:$E$7,MATCH(A54,Capacity!$D$3:$D$7,0))</f>
        <v>358</v>
      </c>
      <c r="I54">
        <f>INDEX(Capacity!$F$3:$F$7,MATCH(A54,Capacity!$D$3:$D$7,0))</f>
        <v>1537</v>
      </c>
      <c r="J54">
        <f t="shared" si="1"/>
        <v>1358</v>
      </c>
      <c r="K54" s="1">
        <f t="shared" si="2"/>
        <v>46135</v>
      </c>
    </row>
    <row r="55" spans="1:11">
      <c r="A55" t="str">
        <f>'Demand Projection'!B55</f>
        <v>SKU PROD A</v>
      </c>
      <c r="B55" s="1">
        <f>'Demand Projection'!C55</f>
        <v>46136</v>
      </c>
      <c r="C55">
        <f>'Demand Projection'!D55</f>
        <v>1038</v>
      </c>
      <c r="D55">
        <f>SUMIFS(Warehouse!$D$2:$D$6,Warehouse!$B$2:$B$6,A55)</f>
        <v>2200</v>
      </c>
      <c r="E55">
        <f>SUMIFS($C$2:C55,$A$2:A55,A55)</f>
        <v>14128</v>
      </c>
      <c r="F55">
        <f>SUMIFS($J$2:J54,$A$2:A54,A55,$K$2:K54,"&lt;="&amp;B55)</f>
        <v>14614</v>
      </c>
      <c r="G55">
        <f t="shared" si="0"/>
        <v>2686</v>
      </c>
      <c r="H55">
        <f>INDEX(Capacity!$E$3:$E$7,MATCH(A55,Capacity!$D$3:$D$7,0))</f>
        <v>678</v>
      </c>
      <c r="I55">
        <f>INDEX(Capacity!$F$3:$F$7,MATCH(A55,Capacity!$D$3:$D$7,0))</f>
        <v>2632</v>
      </c>
      <c r="J55">
        <f t="shared" si="1"/>
        <v>0</v>
      </c>
      <c r="K55" s="1">
        <f t="shared" si="2"/>
        <v>46139</v>
      </c>
    </row>
    <row r="56" spans="1:11">
      <c r="A56" t="str">
        <f>'Demand Projection'!B56</f>
        <v>SKU PROD D</v>
      </c>
      <c r="B56" s="1">
        <f>'Demand Projection'!C56</f>
        <v>46140</v>
      </c>
      <c r="C56">
        <f>'Demand Projection'!D56</f>
        <v>3111</v>
      </c>
      <c r="D56">
        <f>SUMIFS(Warehouse!$D$2:$D$6,Warehouse!$B$2:$B$6,A56)</f>
        <v>3500</v>
      </c>
      <c r="E56">
        <f>SUMIFS($C$2:C56,$A$2:A56,A56)</f>
        <v>18811</v>
      </c>
      <c r="F56">
        <f>SUMIFS($J$2:J55,$A$2:A55,A56,$K$2:K55,"&lt;="&amp;B56)</f>
        <v>14196</v>
      </c>
      <c r="G56">
        <f t="shared" si="0"/>
        <v>-1115</v>
      </c>
      <c r="H56">
        <f>INDEX(Capacity!$E$3:$E$7,MATCH(A56,Capacity!$D$3:$D$7,0))</f>
        <v>430</v>
      </c>
      <c r="I56">
        <f>INDEX(Capacity!$F$3:$F$7,MATCH(A56,Capacity!$D$3:$D$7,0))</f>
        <v>3532</v>
      </c>
      <c r="J56">
        <f t="shared" si="1"/>
        <v>4647</v>
      </c>
      <c r="K56" s="1">
        <f t="shared" si="2"/>
        <v>46143</v>
      </c>
    </row>
    <row r="57" spans="1:11">
      <c r="A57" t="str">
        <f>'Demand Projection'!B57</f>
        <v>SKU PROD E</v>
      </c>
      <c r="B57" s="1">
        <f>'Demand Projection'!C57</f>
        <v>46140</v>
      </c>
      <c r="C57">
        <f>'Demand Projection'!D57</f>
        <v>2074</v>
      </c>
      <c r="D57">
        <f>SUMIFS(Warehouse!$D$2:$D$6,Warehouse!$B$2:$B$6,A57)</f>
        <v>2300</v>
      </c>
      <c r="E57">
        <f>SUMIFS($C$2:C57,$A$2:A57,A57)</f>
        <v>10062</v>
      </c>
      <c r="F57">
        <f>SUMIFS($J$2:J56,$A$2:A56,A57,$K$2:K56,"&lt;="&amp;B57)</f>
        <v>7622</v>
      </c>
      <c r="G57">
        <f t="shared" si="0"/>
        <v>-140</v>
      </c>
      <c r="H57">
        <f>INDEX(Capacity!$E$3:$E$7,MATCH(A57,Capacity!$D$3:$D$7,0))</f>
        <v>250</v>
      </c>
      <c r="I57">
        <f>INDEX(Capacity!$F$3:$F$7,MATCH(A57,Capacity!$D$3:$D$7,0))</f>
        <v>2357</v>
      </c>
      <c r="J57">
        <f t="shared" si="1"/>
        <v>2497</v>
      </c>
      <c r="K57" s="1">
        <f t="shared" si="2"/>
        <v>46143</v>
      </c>
    </row>
    <row r="58" spans="1:11">
      <c r="A58" t="str">
        <f>'Demand Projection'!B58</f>
        <v>SKU PROD A</v>
      </c>
      <c r="B58" s="1">
        <f>'Demand Projection'!C58</f>
        <v>46145</v>
      </c>
      <c r="C58">
        <f>'Demand Projection'!D58</f>
        <v>1003</v>
      </c>
      <c r="D58">
        <f>SUMIFS(Warehouse!$D$2:$D$6,Warehouse!$B$2:$B$6,A58)</f>
        <v>2200</v>
      </c>
      <c r="E58">
        <f>SUMIFS($C$2:C58,$A$2:A58,A58)</f>
        <v>15131</v>
      </c>
      <c r="F58">
        <f>SUMIFS($J$2:J57,$A$2:A57,A58,$K$2:K57,"&lt;="&amp;B58)</f>
        <v>14614</v>
      </c>
      <c r="G58">
        <f t="shared" si="0"/>
        <v>1683</v>
      </c>
      <c r="H58">
        <f>INDEX(Capacity!$E$3:$E$7,MATCH(A58,Capacity!$D$3:$D$7,0))</f>
        <v>678</v>
      </c>
      <c r="I58">
        <f>INDEX(Capacity!$F$3:$F$7,MATCH(A58,Capacity!$D$3:$D$7,0))</f>
        <v>2632</v>
      </c>
      <c r="J58">
        <f t="shared" si="1"/>
        <v>0</v>
      </c>
      <c r="K58" s="1">
        <f t="shared" si="2"/>
        <v>46148</v>
      </c>
    </row>
    <row r="59" spans="1:11">
      <c r="A59" t="str">
        <f>'Demand Projection'!B59</f>
        <v>SKU PROD B</v>
      </c>
      <c r="B59" s="1">
        <f>'Demand Projection'!C59</f>
        <v>46145</v>
      </c>
      <c r="C59">
        <f>'Demand Projection'!D59</f>
        <v>6013</v>
      </c>
      <c r="D59">
        <f>SUMIFS(Warehouse!$D$2:$D$6,Warehouse!$B$2:$B$6,A59)</f>
        <v>8000</v>
      </c>
      <c r="E59">
        <f>SUMIFS($C$2:C59,$A$2:A59,A59)</f>
        <v>33298</v>
      </c>
      <c r="F59">
        <f>SUMIFS($J$2:J58,$A$2:A58,A59,$K$2:K58,"&lt;="&amp;B59)</f>
        <v>25221</v>
      </c>
      <c r="G59">
        <f t="shared" si="0"/>
        <v>-77</v>
      </c>
      <c r="H59">
        <f>INDEX(Capacity!$E$3:$E$7,MATCH(A59,Capacity!$D$3:$D$7,0))</f>
        <v>376</v>
      </c>
      <c r="I59">
        <f>INDEX(Capacity!$F$3:$F$7,MATCH(A59,Capacity!$D$3:$D$7,0))</f>
        <v>6570</v>
      </c>
      <c r="J59">
        <f t="shared" si="1"/>
        <v>6647</v>
      </c>
      <c r="K59" s="1">
        <f t="shared" si="2"/>
        <v>46148</v>
      </c>
    </row>
    <row r="60" spans="1:11">
      <c r="A60" t="str">
        <f>'Demand Projection'!B60</f>
        <v>SKU PROD A</v>
      </c>
      <c r="B60" s="1">
        <f>'Demand Projection'!C60</f>
        <v>46146</v>
      </c>
      <c r="C60">
        <f>'Demand Projection'!D60</f>
        <v>402</v>
      </c>
      <c r="D60">
        <f>SUMIFS(Warehouse!$D$2:$D$6,Warehouse!$B$2:$B$6,A60)</f>
        <v>2200</v>
      </c>
      <c r="E60">
        <f>SUMIFS($C$2:C60,$A$2:A60,A60)</f>
        <v>15533</v>
      </c>
      <c r="F60">
        <f>SUMIFS($J$2:J59,$A$2:A59,A60,$K$2:K59,"&lt;="&amp;B60)</f>
        <v>14614</v>
      </c>
      <c r="G60">
        <f t="shared" si="0"/>
        <v>1281</v>
      </c>
      <c r="H60">
        <f>INDEX(Capacity!$E$3:$E$7,MATCH(A60,Capacity!$D$3:$D$7,0))</f>
        <v>678</v>
      </c>
      <c r="I60">
        <f>INDEX(Capacity!$F$3:$F$7,MATCH(A60,Capacity!$D$3:$D$7,0))</f>
        <v>2632</v>
      </c>
      <c r="J60">
        <f t="shared" si="1"/>
        <v>0</v>
      </c>
      <c r="K60" s="1">
        <f t="shared" si="2"/>
        <v>46149</v>
      </c>
    </row>
    <row r="61" spans="1:11">
      <c r="A61" t="str">
        <f>'Demand Projection'!B61</f>
        <v>SKU PROD C</v>
      </c>
      <c r="B61" s="1">
        <f>'Demand Projection'!C61</f>
        <v>46147</v>
      </c>
      <c r="C61">
        <f>'Demand Projection'!D61</f>
        <v>904</v>
      </c>
      <c r="D61">
        <f>SUMIFS(Warehouse!$D$2:$D$6,Warehouse!$B$2:$B$6,A61)</f>
        <v>1700</v>
      </c>
      <c r="E61">
        <f>SUMIFS($C$2:C61,$A$2:A61,A61)</f>
        <v>10058</v>
      </c>
      <c r="F61">
        <f>SUMIFS($J$2:J60,$A$2:A60,A61,$K$2:K60,"&lt;="&amp;B61)</f>
        <v>8991</v>
      </c>
      <c r="G61">
        <f t="shared" si="0"/>
        <v>633</v>
      </c>
      <c r="H61">
        <f>INDEX(Capacity!$E$3:$E$7,MATCH(A61,Capacity!$D$3:$D$7,0))</f>
        <v>358</v>
      </c>
      <c r="I61">
        <f>INDEX(Capacity!$F$3:$F$7,MATCH(A61,Capacity!$D$3:$D$7,0))</f>
        <v>1537</v>
      </c>
      <c r="J61">
        <f t="shared" si="1"/>
        <v>0</v>
      </c>
      <c r="K61" s="1">
        <f t="shared" si="2"/>
        <v>46150</v>
      </c>
    </row>
    <row r="62" spans="1:11">
      <c r="A62" t="str">
        <f>'Demand Projection'!B62</f>
        <v>SKU PROD D</v>
      </c>
      <c r="B62" s="1">
        <f>'Demand Projection'!C62</f>
        <v>46148</v>
      </c>
      <c r="C62">
        <f>'Demand Projection'!D62</f>
        <v>603</v>
      </c>
      <c r="D62">
        <f>SUMIFS(Warehouse!$D$2:$D$6,Warehouse!$B$2:$B$6,A62)</f>
        <v>3500</v>
      </c>
      <c r="E62">
        <f>SUMIFS($C$2:C62,$A$2:A62,A62)</f>
        <v>19414</v>
      </c>
      <c r="F62">
        <f>SUMIFS($J$2:J61,$A$2:A61,A62,$K$2:K61,"&lt;="&amp;B62)</f>
        <v>18843</v>
      </c>
      <c r="G62">
        <f t="shared" si="0"/>
        <v>2929</v>
      </c>
      <c r="H62">
        <f>INDEX(Capacity!$E$3:$E$7,MATCH(A62,Capacity!$D$3:$D$7,0))</f>
        <v>430</v>
      </c>
      <c r="I62">
        <f>INDEX(Capacity!$F$3:$F$7,MATCH(A62,Capacity!$D$3:$D$7,0))</f>
        <v>3532</v>
      </c>
      <c r="J62">
        <f t="shared" si="1"/>
        <v>0</v>
      </c>
      <c r="K62" s="1">
        <f t="shared" si="2"/>
        <v>46151</v>
      </c>
    </row>
    <row r="63" spans="1:11">
      <c r="A63" t="str">
        <f>'Demand Projection'!B63</f>
        <v>SKU PROD A</v>
      </c>
      <c r="B63" s="1">
        <f>'Demand Projection'!C63</f>
        <v>46149</v>
      </c>
      <c r="C63">
        <f>'Demand Projection'!D63</f>
        <v>1003</v>
      </c>
      <c r="D63">
        <f>SUMIFS(Warehouse!$D$2:$D$6,Warehouse!$B$2:$B$6,A63)</f>
        <v>2200</v>
      </c>
      <c r="E63">
        <f>SUMIFS($C$2:C63,$A$2:A63,A63)</f>
        <v>16536</v>
      </c>
      <c r="F63">
        <f>SUMIFS($J$2:J62,$A$2:A62,A63,$K$2:K62,"&lt;="&amp;B63)</f>
        <v>14614</v>
      </c>
      <c r="G63">
        <f t="shared" si="0"/>
        <v>278</v>
      </c>
      <c r="H63">
        <f>INDEX(Capacity!$E$3:$E$7,MATCH(A63,Capacity!$D$3:$D$7,0))</f>
        <v>678</v>
      </c>
      <c r="I63">
        <f>INDEX(Capacity!$F$3:$F$7,MATCH(A63,Capacity!$D$3:$D$7,0))</f>
        <v>2632</v>
      </c>
      <c r="J63">
        <f t="shared" si="1"/>
        <v>2354</v>
      </c>
      <c r="K63" s="1">
        <f t="shared" si="2"/>
        <v>46152</v>
      </c>
    </row>
    <row r="64" spans="1:11">
      <c r="A64" t="str">
        <f>'Demand Projection'!B64</f>
        <v>SKU PROD C</v>
      </c>
      <c r="B64" s="1">
        <f>'Demand Projection'!C64</f>
        <v>46151</v>
      </c>
      <c r="C64">
        <f>'Demand Projection'!D64</f>
        <v>502</v>
      </c>
      <c r="D64">
        <f>SUMIFS(Warehouse!$D$2:$D$6,Warehouse!$B$2:$B$6,A64)</f>
        <v>1700</v>
      </c>
      <c r="E64">
        <f>SUMIFS($C$2:C64,$A$2:A64,A64)</f>
        <v>10560</v>
      </c>
      <c r="F64">
        <f>SUMIFS($J$2:J63,$A$2:A63,A64,$K$2:K63,"&lt;="&amp;B64)</f>
        <v>8991</v>
      </c>
      <c r="G64">
        <f t="shared" si="0"/>
        <v>131</v>
      </c>
      <c r="H64">
        <f>INDEX(Capacity!$E$3:$E$7,MATCH(A64,Capacity!$D$3:$D$7,0))</f>
        <v>358</v>
      </c>
      <c r="I64">
        <f>INDEX(Capacity!$F$3:$F$7,MATCH(A64,Capacity!$D$3:$D$7,0))</f>
        <v>1537</v>
      </c>
      <c r="J64">
        <f t="shared" si="1"/>
        <v>1406</v>
      </c>
      <c r="K64" s="1">
        <f t="shared" si="2"/>
        <v>46154</v>
      </c>
    </row>
    <row r="65" spans="1:11">
      <c r="A65" t="str">
        <f>'Demand Projection'!B65</f>
        <v>SKU PROD E</v>
      </c>
      <c r="B65" s="1">
        <f>'Demand Projection'!C65</f>
        <v>46154</v>
      </c>
      <c r="C65">
        <f>'Demand Projection'!D65</f>
        <v>402</v>
      </c>
      <c r="D65">
        <f>SUMIFS(Warehouse!$D$2:$D$6,Warehouse!$B$2:$B$6,A65)</f>
        <v>2300</v>
      </c>
      <c r="E65">
        <f>SUMIFS($C$2:C65,$A$2:A65,A65)</f>
        <v>10464</v>
      </c>
      <c r="F65">
        <f>SUMIFS($J$2:J64,$A$2:A64,A65,$K$2:K64,"&lt;="&amp;B65)</f>
        <v>10119</v>
      </c>
      <c r="G65">
        <f t="shared" si="0"/>
        <v>1955</v>
      </c>
      <c r="H65">
        <f>INDEX(Capacity!$E$3:$E$7,MATCH(A65,Capacity!$D$3:$D$7,0))</f>
        <v>250</v>
      </c>
      <c r="I65">
        <f>INDEX(Capacity!$F$3:$F$7,MATCH(A65,Capacity!$D$3:$D$7,0))</f>
        <v>2357</v>
      </c>
      <c r="J65">
        <f t="shared" si="1"/>
        <v>0</v>
      </c>
      <c r="K65" s="1">
        <f t="shared" si="2"/>
        <v>46157</v>
      </c>
    </row>
    <row r="66" spans="1:11">
      <c r="A66" t="str">
        <f>'Demand Projection'!B66</f>
        <v>SKU PROD B</v>
      </c>
      <c r="B66" s="1">
        <f>'Demand Projection'!C66</f>
        <v>46155</v>
      </c>
      <c r="C66">
        <f>'Demand Projection'!D66</f>
        <v>603</v>
      </c>
      <c r="D66">
        <f>SUMIFS(Warehouse!$D$2:$D$6,Warehouse!$B$2:$B$6,A66)</f>
        <v>8000</v>
      </c>
      <c r="E66">
        <f>SUMIFS($C$2:C66,$A$2:A66,A66)</f>
        <v>33901</v>
      </c>
      <c r="F66">
        <f>SUMIFS($J$2:J65,$A$2:A65,A66,$K$2:K65,"&lt;="&amp;B66)</f>
        <v>31868</v>
      </c>
      <c r="G66">
        <f t="shared" si="0"/>
        <v>5967</v>
      </c>
      <c r="H66">
        <f>INDEX(Capacity!$E$3:$E$7,MATCH(A66,Capacity!$D$3:$D$7,0))</f>
        <v>376</v>
      </c>
      <c r="I66">
        <f>INDEX(Capacity!$F$3:$F$7,MATCH(A66,Capacity!$D$3:$D$7,0))</f>
        <v>6570</v>
      </c>
      <c r="J66">
        <f t="shared" si="1"/>
        <v>0</v>
      </c>
      <c r="K66" s="1">
        <f t="shared" si="2"/>
        <v>46158</v>
      </c>
    </row>
    <row r="67" spans="1:11">
      <c r="A67" t="str">
        <f>'Demand Projection'!B67</f>
        <v>SKU PROD D</v>
      </c>
      <c r="B67" s="1">
        <f>'Demand Projection'!C67</f>
        <v>46159</v>
      </c>
      <c r="C67">
        <f>'Demand Projection'!D67</f>
        <v>857</v>
      </c>
      <c r="D67">
        <f>SUMIFS(Warehouse!$D$2:$D$6,Warehouse!$B$2:$B$6,A67)</f>
        <v>3500</v>
      </c>
      <c r="E67">
        <f>SUMIFS($C$2:C67,$A$2:A67,A67)</f>
        <v>20271</v>
      </c>
      <c r="F67">
        <f>SUMIFS($J$2:J66,$A$2:A66,A67,$K$2:K66,"&lt;="&amp;B67)</f>
        <v>18843</v>
      </c>
      <c r="G67">
        <f t="shared" ref="G67:G130" si="3">D67-E67+F67</f>
        <v>2072</v>
      </c>
      <c r="H67">
        <f>INDEX(Capacity!$E$3:$E$7,MATCH(A67,Capacity!$D$3:$D$7,0))</f>
        <v>430</v>
      </c>
      <c r="I67">
        <f>INDEX(Capacity!$F$3:$F$7,MATCH(A67,Capacity!$D$3:$D$7,0))</f>
        <v>3532</v>
      </c>
      <c r="J67">
        <f t="shared" ref="J67:J130" si="4">IF(G67&lt;H67,I67-G67,0)</f>
        <v>0</v>
      </c>
      <c r="K67" s="1">
        <f t="shared" ref="K67:K130" si="5">B67+3</f>
        <v>46162</v>
      </c>
    </row>
    <row r="68" spans="1:11">
      <c r="A68" t="str">
        <f>'Demand Projection'!B68</f>
        <v>SKU PROD C</v>
      </c>
      <c r="B68" s="1">
        <f>'Demand Projection'!C68</f>
        <v>46162</v>
      </c>
      <c r="C68">
        <f>'Demand Projection'!D68</f>
        <v>789</v>
      </c>
      <c r="D68">
        <f>SUMIFS(Warehouse!$D$2:$D$6,Warehouse!$B$2:$B$6,A68)</f>
        <v>1700</v>
      </c>
      <c r="E68">
        <f>SUMIFS($C$2:C68,$A$2:A68,A68)</f>
        <v>11349</v>
      </c>
      <c r="F68">
        <f>SUMIFS($J$2:J67,$A$2:A67,A68,$K$2:K67,"&lt;="&amp;B68)</f>
        <v>10397</v>
      </c>
      <c r="G68">
        <f t="shared" si="3"/>
        <v>748</v>
      </c>
      <c r="H68">
        <f>INDEX(Capacity!$E$3:$E$7,MATCH(A68,Capacity!$D$3:$D$7,0))</f>
        <v>358</v>
      </c>
      <c r="I68">
        <f>INDEX(Capacity!$F$3:$F$7,MATCH(A68,Capacity!$D$3:$D$7,0))</f>
        <v>1537</v>
      </c>
      <c r="J68">
        <f t="shared" si="4"/>
        <v>0</v>
      </c>
      <c r="K68" s="1">
        <f t="shared" si="5"/>
        <v>46165</v>
      </c>
    </row>
    <row r="69" spans="1:11">
      <c r="A69" t="str">
        <f>'Demand Projection'!B69</f>
        <v>SKU PROD A</v>
      </c>
      <c r="B69" s="1">
        <f>'Demand Projection'!C69</f>
        <v>46166</v>
      </c>
      <c r="C69">
        <f>'Demand Projection'!D69</f>
        <v>1090</v>
      </c>
      <c r="D69">
        <f>SUMIFS(Warehouse!$D$2:$D$6,Warehouse!$B$2:$B$6,A69)</f>
        <v>2200</v>
      </c>
      <c r="E69">
        <f>SUMIFS($C$2:C69,$A$2:A69,A69)</f>
        <v>17626</v>
      </c>
      <c r="F69">
        <f>SUMIFS($J$2:J68,$A$2:A68,A69,$K$2:K68,"&lt;="&amp;B69)</f>
        <v>16968</v>
      </c>
      <c r="G69">
        <f t="shared" si="3"/>
        <v>1542</v>
      </c>
      <c r="H69">
        <f>INDEX(Capacity!$E$3:$E$7,MATCH(A69,Capacity!$D$3:$D$7,0))</f>
        <v>678</v>
      </c>
      <c r="I69">
        <f>INDEX(Capacity!$F$3:$F$7,MATCH(A69,Capacity!$D$3:$D$7,0))</f>
        <v>2632</v>
      </c>
      <c r="J69">
        <f t="shared" si="4"/>
        <v>0</v>
      </c>
      <c r="K69" s="1">
        <f t="shared" si="5"/>
        <v>46169</v>
      </c>
    </row>
    <row r="70" spans="1:11">
      <c r="A70" t="str">
        <f>'Demand Projection'!B70</f>
        <v>SKU PROD D</v>
      </c>
      <c r="B70" s="1">
        <f>'Demand Projection'!C70</f>
        <v>46170</v>
      </c>
      <c r="C70">
        <f>'Demand Projection'!D70</f>
        <v>3267</v>
      </c>
      <c r="D70">
        <f>SUMIFS(Warehouse!$D$2:$D$6,Warehouse!$B$2:$B$6,A70)</f>
        <v>3500</v>
      </c>
      <c r="E70">
        <f>SUMIFS($C$2:C70,$A$2:A70,A70)</f>
        <v>23538</v>
      </c>
      <c r="F70">
        <f>SUMIFS($J$2:J69,$A$2:A69,A70,$K$2:K69,"&lt;="&amp;B70)</f>
        <v>18843</v>
      </c>
      <c r="G70">
        <f t="shared" si="3"/>
        <v>-1195</v>
      </c>
      <c r="H70">
        <f>INDEX(Capacity!$E$3:$E$7,MATCH(A70,Capacity!$D$3:$D$7,0))</f>
        <v>430</v>
      </c>
      <c r="I70">
        <f>INDEX(Capacity!$F$3:$F$7,MATCH(A70,Capacity!$D$3:$D$7,0))</f>
        <v>3532</v>
      </c>
      <c r="J70">
        <f t="shared" si="4"/>
        <v>4727</v>
      </c>
      <c r="K70" s="1">
        <f t="shared" si="5"/>
        <v>46173</v>
      </c>
    </row>
    <row r="71" spans="1:11">
      <c r="A71" t="str">
        <f>'Demand Projection'!B71</f>
        <v>SKU PROD E</v>
      </c>
      <c r="B71" s="1">
        <f>'Demand Projection'!C71</f>
        <v>46170</v>
      </c>
      <c r="C71">
        <f>'Demand Projection'!D71</f>
        <v>2178</v>
      </c>
      <c r="D71">
        <f>SUMIFS(Warehouse!$D$2:$D$6,Warehouse!$B$2:$B$6,A71)</f>
        <v>2300</v>
      </c>
      <c r="E71">
        <f>SUMIFS($C$2:C71,$A$2:A71,A71)</f>
        <v>12642</v>
      </c>
      <c r="F71">
        <f>SUMIFS($J$2:J70,$A$2:A70,A71,$K$2:K70,"&lt;="&amp;B71)</f>
        <v>10119</v>
      </c>
      <c r="G71">
        <f t="shared" si="3"/>
        <v>-223</v>
      </c>
      <c r="H71">
        <f>INDEX(Capacity!$E$3:$E$7,MATCH(A71,Capacity!$D$3:$D$7,0))</f>
        <v>250</v>
      </c>
      <c r="I71">
        <f>INDEX(Capacity!$F$3:$F$7,MATCH(A71,Capacity!$D$3:$D$7,0))</f>
        <v>2357</v>
      </c>
      <c r="J71">
        <f t="shared" si="4"/>
        <v>2580</v>
      </c>
      <c r="K71" s="1">
        <f t="shared" si="5"/>
        <v>46173</v>
      </c>
    </row>
    <row r="72" spans="1:11">
      <c r="A72" t="str">
        <f>'Demand Projection'!B72</f>
        <v>SKU PROD A</v>
      </c>
      <c r="B72" s="1">
        <f>'Demand Projection'!C72</f>
        <v>46176</v>
      </c>
      <c r="C72">
        <f>'Demand Projection'!D72</f>
        <v>953</v>
      </c>
      <c r="D72">
        <f>SUMIFS(Warehouse!$D$2:$D$6,Warehouse!$B$2:$B$6,A72)</f>
        <v>2200</v>
      </c>
      <c r="E72">
        <f>SUMIFS($C$2:C72,$A$2:A72,A72)</f>
        <v>18579</v>
      </c>
      <c r="F72">
        <f>SUMIFS($J$2:J71,$A$2:A71,A72,$K$2:K71,"&lt;="&amp;B72)</f>
        <v>16968</v>
      </c>
      <c r="G72">
        <f t="shared" si="3"/>
        <v>589</v>
      </c>
      <c r="H72">
        <f>INDEX(Capacity!$E$3:$E$7,MATCH(A72,Capacity!$D$3:$D$7,0))</f>
        <v>678</v>
      </c>
      <c r="I72">
        <f>INDEX(Capacity!$F$3:$F$7,MATCH(A72,Capacity!$D$3:$D$7,0))</f>
        <v>2632</v>
      </c>
      <c r="J72">
        <f t="shared" si="4"/>
        <v>2043</v>
      </c>
      <c r="K72" s="1">
        <f t="shared" si="5"/>
        <v>46179</v>
      </c>
    </row>
    <row r="73" spans="1:11">
      <c r="A73" t="str">
        <f>'Demand Projection'!B73</f>
        <v>SKU PROD B</v>
      </c>
      <c r="B73" s="1">
        <f>'Demand Projection'!C73</f>
        <v>46176</v>
      </c>
      <c r="C73">
        <f>'Demand Projection'!D73</f>
        <v>5713</v>
      </c>
      <c r="D73">
        <f>SUMIFS(Warehouse!$D$2:$D$6,Warehouse!$B$2:$B$6,A73)</f>
        <v>8000</v>
      </c>
      <c r="E73">
        <f>SUMIFS($C$2:C73,$A$2:A73,A73)</f>
        <v>39614</v>
      </c>
      <c r="F73">
        <f>SUMIFS($J$2:J72,$A$2:A72,A73,$K$2:K72,"&lt;="&amp;B73)</f>
        <v>31868</v>
      </c>
      <c r="G73">
        <f t="shared" si="3"/>
        <v>254</v>
      </c>
      <c r="H73">
        <f>INDEX(Capacity!$E$3:$E$7,MATCH(A73,Capacity!$D$3:$D$7,0))</f>
        <v>376</v>
      </c>
      <c r="I73">
        <f>INDEX(Capacity!$F$3:$F$7,MATCH(A73,Capacity!$D$3:$D$7,0))</f>
        <v>6570</v>
      </c>
      <c r="J73">
        <f t="shared" si="4"/>
        <v>6316</v>
      </c>
      <c r="K73" s="1">
        <f t="shared" si="5"/>
        <v>46179</v>
      </c>
    </row>
    <row r="74" spans="1:11">
      <c r="A74" t="str">
        <f>'Demand Projection'!B74</f>
        <v>SKU PROD A</v>
      </c>
      <c r="B74" s="1">
        <f>'Demand Projection'!C74</f>
        <v>46177</v>
      </c>
      <c r="C74">
        <f>'Demand Projection'!D74</f>
        <v>382</v>
      </c>
      <c r="D74">
        <f>SUMIFS(Warehouse!$D$2:$D$6,Warehouse!$B$2:$B$6,A74)</f>
        <v>2200</v>
      </c>
      <c r="E74">
        <f>SUMIFS($C$2:C74,$A$2:A74,A74)</f>
        <v>18961</v>
      </c>
      <c r="F74">
        <f>SUMIFS($J$2:J73,$A$2:A73,A74,$K$2:K73,"&lt;="&amp;B74)</f>
        <v>16968</v>
      </c>
      <c r="G74">
        <f t="shared" si="3"/>
        <v>207</v>
      </c>
      <c r="H74">
        <f>INDEX(Capacity!$E$3:$E$7,MATCH(A74,Capacity!$D$3:$D$7,0))</f>
        <v>678</v>
      </c>
      <c r="I74">
        <f>INDEX(Capacity!$F$3:$F$7,MATCH(A74,Capacity!$D$3:$D$7,0))</f>
        <v>2632</v>
      </c>
      <c r="J74">
        <f t="shared" si="4"/>
        <v>2425</v>
      </c>
      <c r="K74" s="1">
        <f t="shared" si="5"/>
        <v>46180</v>
      </c>
    </row>
    <row r="75" spans="1:11">
      <c r="A75" t="str">
        <f>'Demand Projection'!B75</f>
        <v>SKU PROD C</v>
      </c>
      <c r="B75" s="1">
        <f>'Demand Projection'!C75</f>
        <v>46178</v>
      </c>
      <c r="C75">
        <f>'Demand Projection'!D75</f>
        <v>859</v>
      </c>
      <c r="D75">
        <f>SUMIFS(Warehouse!$D$2:$D$6,Warehouse!$B$2:$B$6,A75)</f>
        <v>1700</v>
      </c>
      <c r="E75">
        <f>SUMIFS($C$2:C75,$A$2:A75,A75)</f>
        <v>12208</v>
      </c>
      <c r="F75">
        <f>SUMIFS($J$2:J74,$A$2:A74,A75,$K$2:K74,"&lt;="&amp;B75)</f>
        <v>10397</v>
      </c>
      <c r="G75">
        <f t="shared" si="3"/>
        <v>-111</v>
      </c>
      <c r="H75">
        <f>INDEX(Capacity!$E$3:$E$7,MATCH(A75,Capacity!$D$3:$D$7,0))</f>
        <v>358</v>
      </c>
      <c r="I75">
        <f>INDEX(Capacity!$F$3:$F$7,MATCH(A75,Capacity!$D$3:$D$7,0))</f>
        <v>1537</v>
      </c>
      <c r="J75">
        <f t="shared" si="4"/>
        <v>1648</v>
      </c>
      <c r="K75" s="1">
        <f t="shared" si="5"/>
        <v>46181</v>
      </c>
    </row>
    <row r="76" spans="1:11">
      <c r="A76" t="str">
        <f>'Demand Projection'!B76</f>
        <v>SKU PROD D</v>
      </c>
      <c r="B76" s="1">
        <f>'Demand Projection'!C76</f>
        <v>46179</v>
      </c>
      <c r="C76">
        <f>'Demand Projection'!D76</f>
        <v>573</v>
      </c>
      <c r="D76">
        <f>SUMIFS(Warehouse!$D$2:$D$6,Warehouse!$B$2:$B$6,A76)</f>
        <v>3500</v>
      </c>
      <c r="E76">
        <f>SUMIFS($C$2:C76,$A$2:A76,A76)</f>
        <v>24111</v>
      </c>
      <c r="F76">
        <f>SUMIFS($J$2:J75,$A$2:A75,A76,$K$2:K75,"&lt;="&amp;B76)</f>
        <v>23570</v>
      </c>
      <c r="G76">
        <f t="shared" si="3"/>
        <v>2959</v>
      </c>
      <c r="H76">
        <f>INDEX(Capacity!$E$3:$E$7,MATCH(A76,Capacity!$D$3:$D$7,0))</f>
        <v>430</v>
      </c>
      <c r="I76">
        <f>INDEX(Capacity!$F$3:$F$7,MATCH(A76,Capacity!$D$3:$D$7,0))</f>
        <v>3532</v>
      </c>
      <c r="J76">
        <f t="shared" si="4"/>
        <v>0</v>
      </c>
      <c r="K76" s="1">
        <f t="shared" si="5"/>
        <v>46182</v>
      </c>
    </row>
    <row r="77" spans="1:11">
      <c r="A77" t="str">
        <f>'Demand Projection'!B77</f>
        <v>SKU PROD A</v>
      </c>
      <c r="B77" s="1">
        <f>'Demand Projection'!C77</f>
        <v>46180</v>
      </c>
      <c r="C77">
        <f>'Demand Projection'!D77</f>
        <v>953</v>
      </c>
      <c r="D77">
        <f>SUMIFS(Warehouse!$D$2:$D$6,Warehouse!$B$2:$B$6,A77)</f>
        <v>2200</v>
      </c>
      <c r="E77">
        <f>SUMIFS($C$2:C77,$A$2:A77,A77)</f>
        <v>19914</v>
      </c>
      <c r="F77">
        <f>SUMIFS($J$2:J76,$A$2:A76,A77,$K$2:K76,"&lt;="&amp;B77)</f>
        <v>21436</v>
      </c>
      <c r="G77">
        <f t="shared" si="3"/>
        <v>3722</v>
      </c>
      <c r="H77">
        <f>INDEX(Capacity!$E$3:$E$7,MATCH(A77,Capacity!$D$3:$D$7,0))</f>
        <v>678</v>
      </c>
      <c r="I77">
        <f>INDEX(Capacity!$F$3:$F$7,MATCH(A77,Capacity!$D$3:$D$7,0))</f>
        <v>2632</v>
      </c>
      <c r="J77">
        <f t="shared" si="4"/>
        <v>0</v>
      </c>
      <c r="K77" s="1">
        <f t="shared" si="5"/>
        <v>46183</v>
      </c>
    </row>
    <row r="78" spans="1:11">
      <c r="A78" t="str">
        <f>'Demand Projection'!B78</f>
        <v>SKU PROD C</v>
      </c>
      <c r="B78" s="1">
        <f>'Demand Projection'!C78</f>
        <v>46182</v>
      </c>
      <c r="C78">
        <f>'Demand Projection'!D78</f>
        <v>477</v>
      </c>
      <c r="D78">
        <f>SUMIFS(Warehouse!$D$2:$D$6,Warehouse!$B$2:$B$6,A78)</f>
        <v>1700</v>
      </c>
      <c r="E78">
        <f>SUMIFS($C$2:C78,$A$2:A78,A78)</f>
        <v>12685</v>
      </c>
      <c r="F78">
        <f>SUMIFS($J$2:J77,$A$2:A77,A78,$K$2:K77,"&lt;="&amp;B78)</f>
        <v>12045</v>
      </c>
      <c r="G78">
        <f t="shared" si="3"/>
        <v>1060</v>
      </c>
      <c r="H78">
        <f>INDEX(Capacity!$E$3:$E$7,MATCH(A78,Capacity!$D$3:$D$7,0))</f>
        <v>358</v>
      </c>
      <c r="I78">
        <f>INDEX(Capacity!$F$3:$F$7,MATCH(A78,Capacity!$D$3:$D$7,0))</f>
        <v>1537</v>
      </c>
      <c r="J78">
        <f t="shared" si="4"/>
        <v>0</v>
      </c>
      <c r="K78" s="1">
        <f t="shared" si="5"/>
        <v>46185</v>
      </c>
    </row>
    <row r="79" spans="1:11">
      <c r="A79" t="str">
        <f>'Demand Projection'!B79</f>
        <v>SKU PROD E</v>
      </c>
      <c r="B79" s="1">
        <f>'Demand Projection'!C79</f>
        <v>46185</v>
      </c>
      <c r="C79">
        <f>'Demand Projection'!D79</f>
        <v>382</v>
      </c>
      <c r="D79">
        <f>SUMIFS(Warehouse!$D$2:$D$6,Warehouse!$B$2:$B$6,A79)</f>
        <v>2300</v>
      </c>
      <c r="E79">
        <f>SUMIFS($C$2:C79,$A$2:A79,A79)</f>
        <v>13024</v>
      </c>
      <c r="F79">
        <f>SUMIFS($J$2:J78,$A$2:A78,A79,$K$2:K78,"&lt;="&amp;B79)</f>
        <v>12699</v>
      </c>
      <c r="G79">
        <f t="shared" si="3"/>
        <v>1975</v>
      </c>
      <c r="H79">
        <f>INDEX(Capacity!$E$3:$E$7,MATCH(A79,Capacity!$D$3:$D$7,0))</f>
        <v>250</v>
      </c>
      <c r="I79">
        <f>INDEX(Capacity!$F$3:$F$7,MATCH(A79,Capacity!$D$3:$D$7,0))</f>
        <v>2357</v>
      </c>
      <c r="J79">
        <f t="shared" si="4"/>
        <v>0</v>
      </c>
      <c r="K79" s="1">
        <f t="shared" si="5"/>
        <v>46188</v>
      </c>
    </row>
    <row r="80" spans="1:11">
      <c r="A80" t="str">
        <f>'Demand Projection'!B80</f>
        <v>SKU PROD B</v>
      </c>
      <c r="B80" s="1">
        <f>'Demand Projection'!C80</f>
        <v>46186</v>
      </c>
      <c r="C80">
        <f>'Demand Projection'!D80</f>
        <v>573</v>
      </c>
      <c r="D80">
        <f>SUMIFS(Warehouse!$D$2:$D$6,Warehouse!$B$2:$B$6,A80)</f>
        <v>8000</v>
      </c>
      <c r="E80">
        <f>SUMIFS($C$2:C80,$A$2:A80,A80)</f>
        <v>40187</v>
      </c>
      <c r="F80">
        <f>SUMIFS($J$2:J79,$A$2:A79,A80,$K$2:K79,"&lt;="&amp;B80)</f>
        <v>38184</v>
      </c>
      <c r="G80">
        <f t="shared" si="3"/>
        <v>5997</v>
      </c>
      <c r="H80">
        <f>INDEX(Capacity!$E$3:$E$7,MATCH(A80,Capacity!$D$3:$D$7,0))</f>
        <v>376</v>
      </c>
      <c r="I80">
        <f>INDEX(Capacity!$F$3:$F$7,MATCH(A80,Capacity!$D$3:$D$7,0))</f>
        <v>6570</v>
      </c>
      <c r="J80">
        <f t="shared" si="4"/>
        <v>0</v>
      </c>
      <c r="K80" s="1">
        <f t="shared" si="5"/>
        <v>46189</v>
      </c>
    </row>
    <row r="81" spans="1:11">
      <c r="A81" t="str">
        <f>'Demand Projection'!B81</f>
        <v>SKU PROD D</v>
      </c>
      <c r="B81" s="1">
        <f>'Demand Projection'!C81</f>
        <v>46190</v>
      </c>
      <c r="C81">
        <f>'Demand Projection'!D81</f>
        <v>815</v>
      </c>
      <c r="D81">
        <f>SUMIFS(Warehouse!$D$2:$D$6,Warehouse!$B$2:$B$6,A81)</f>
        <v>3500</v>
      </c>
      <c r="E81">
        <f>SUMIFS($C$2:C81,$A$2:A81,A81)</f>
        <v>24926</v>
      </c>
      <c r="F81">
        <f>SUMIFS($J$2:J80,$A$2:A80,A81,$K$2:K80,"&lt;="&amp;B81)</f>
        <v>23570</v>
      </c>
      <c r="G81">
        <f t="shared" si="3"/>
        <v>2144</v>
      </c>
      <c r="H81">
        <f>INDEX(Capacity!$E$3:$E$7,MATCH(A81,Capacity!$D$3:$D$7,0))</f>
        <v>430</v>
      </c>
      <c r="I81">
        <f>INDEX(Capacity!$F$3:$F$7,MATCH(A81,Capacity!$D$3:$D$7,0))</f>
        <v>3532</v>
      </c>
      <c r="J81">
        <f t="shared" si="4"/>
        <v>0</v>
      </c>
      <c r="K81" s="1">
        <f t="shared" si="5"/>
        <v>46193</v>
      </c>
    </row>
    <row r="82" spans="1:11">
      <c r="A82" t="str">
        <f>'Demand Projection'!B82</f>
        <v>SKU PROD C</v>
      </c>
      <c r="B82" s="1">
        <f>'Demand Projection'!C82</f>
        <v>46193</v>
      </c>
      <c r="C82">
        <f>'Demand Projection'!D82</f>
        <v>750</v>
      </c>
      <c r="D82">
        <f>SUMIFS(Warehouse!$D$2:$D$6,Warehouse!$B$2:$B$6,A82)</f>
        <v>1700</v>
      </c>
      <c r="E82">
        <f>SUMIFS($C$2:C82,$A$2:A82,A82)</f>
        <v>13435</v>
      </c>
      <c r="F82">
        <f>SUMIFS($J$2:J81,$A$2:A81,A82,$K$2:K81,"&lt;="&amp;B82)</f>
        <v>12045</v>
      </c>
      <c r="G82">
        <f t="shared" si="3"/>
        <v>310</v>
      </c>
      <c r="H82">
        <f>INDEX(Capacity!$E$3:$E$7,MATCH(A82,Capacity!$D$3:$D$7,0))</f>
        <v>358</v>
      </c>
      <c r="I82">
        <f>INDEX(Capacity!$F$3:$F$7,MATCH(A82,Capacity!$D$3:$D$7,0))</f>
        <v>1537</v>
      </c>
      <c r="J82">
        <f t="shared" si="4"/>
        <v>1227</v>
      </c>
      <c r="K82" s="1">
        <f t="shared" si="5"/>
        <v>46196</v>
      </c>
    </row>
    <row r="83" spans="1:11">
      <c r="A83" t="str">
        <f>'Demand Projection'!B83</f>
        <v>SKU PROD A</v>
      </c>
      <c r="B83" s="1">
        <f>'Demand Projection'!C83</f>
        <v>46197</v>
      </c>
      <c r="C83">
        <f>'Demand Projection'!D83</f>
        <v>1036</v>
      </c>
      <c r="D83">
        <f>SUMIFS(Warehouse!$D$2:$D$6,Warehouse!$B$2:$B$6,A83)</f>
        <v>2200</v>
      </c>
      <c r="E83">
        <f>SUMIFS($C$2:C83,$A$2:A83,A83)</f>
        <v>20950</v>
      </c>
      <c r="F83">
        <f>SUMIFS($J$2:J82,$A$2:A82,A83,$K$2:K82,"&lt;="&amp;B83)</f>
        <v>21436</v>
      </c>
      <c r="G83">
        <f t="shared" si="3"/>
        <v>2686</v>
      </c>
      <c r="H83">
        <f>INDEX(Capacity!$E$3:$E$7,MATCH(A83,Capacity!$D$3:$D$7,0))</f>
        <v>678</v>
      </c>
      <c r="I83">
        <f>INDEX(Capacity!$F$3:$F$7,MATCH(A83,Capacity!$D$3:$D$7,0))</f>
        <v>2632</v>
      </c>
      <c r="J83">
        <f t="shared" si="4"/>
        <v>0</v>
      </c>
      <c r="K83" s="1">
        <f t="shared" si="5"/>
        <v>46200</v>
      </c>
    </row>
    <row r="84" spans="1:11">
      <c r="A84" t="str">
        <f>'Demand Projection'!B84</f>
        <v>SKU PROD D</v>
      </c>
      <c r="B84" s="1">
        <f>'Demand Projection'!C84</f>
        <v>46201</v>
      </c>
      <c r="C84">
        <f>'Demand Projection'!D84</f>
        <v>3104</v>
      </c>
      <c r="D84">
        <f>SUMIFS(Warehouse!$D$2:$D$6,Warehouse!$B$2:$B$6,A84)</f>
        <v>3500</v>
      </c>
      <c r="E84">
        <f>SUMIFS($C$2:C84,$A$2:A84,A84)</f>
        <v>28030</v>
      </c>
      <c r="F84">
        <f>SUMIFS($J$2:J83,$A$2:A83,A84,$K$2:K83,"&lt;="&amp;B84)</f>
        <v>23570</v>
      </c>
      <c r="G84">
        <f t="shared" si="3"/>
        <v>-960</v>
      </c>
      <c r="H84">
        <f>INDEX(Capacity!$E$3:$E$7,MATCH(A84,Capacity!$D$3:$D$7,0))</f>
        <v>430</v>
      </c>
      <c r="I84">
        <f>INDEX(Capacity!$F$3:$F$7,MATCH(A84,Capacity!$D$3:$D$7,0))</f>
        <v>3532</v>
      </c>
      <c r="J84">
        <f t="shared" si="4"/>
        <v>4492</v>
      </c>
      <c r="K84" s="1">
        <f t="shared" si="5"/>
        <v>46204</v>
      </c>
    </row>
    <row r="85" spans="1:11">
      <c r="A85" t="str">
        <f>'Demand Projection'!B85</f>
        <v>SKU PROD E</v>
      </c>
      <c r="B85" s="1">
        <f>'Demand Projection'!C85</f>
        <v>46201</v>
      </c>
      <c r="C85">
        <f>'Demand Projection'!D85</f>
        <v>2070</v>
      </c>
      <c r="D85">
        <f>SUMIFS(Warehouse!$D$2:$D$6,Warehouse!$B$2:$B$6,A85)</f>
        <v>2300</v>
      </c>
      <c r="E85">
        <f>SUMIFS($C$2:C85,$A$2:A85,A85)</f>
        <v>15094</v>
      </c>
      <c r="F85">
        <f>SUMIFS($J$2:J84,$A$2:A84,A85,$K$2:K84,"&lt;="&amp;B85)</f>
        <v>12699</v>
      </c>
      <c r="G85">
        <f t="shared" si="3"/>
        <v>-95</v>
      </c>
      <c r="H85">
        <f>INDEX(Capacity!$E$3:$E$7,MATCH(A85,Capacity!$D$3:$D$7,0))</f>
        <v>250</v>
      </c>
      <c r="I85">
        <f>INDEX(Capacity!$F$3:$F$7,MATCH(A85,Capacity!$D$3:$D$7,0))</f>
        <v>2357</v>
      </c>
      <c r="J85">
        <f t="shared" si="4"/>
        <v>2452</v>
      </c>
      <c r="K85" s="1">
        <f t="shared" si="5"/>
        <v>46204</v>
      </c>
    </row>
    <row r="86" spans="1:11">
      <c r="A86" t="str">
        <f>'Demand Projection'!B86</f>
        <v>SKU PROD A</v>
      </c>
      <c r="B86" s="1">
        <f>'Demand Projection'!C86</f>
        <v>46206</v>
      </c>
      <c r="C86">
        <f>'Demand Projection'!D86</f>
        <v>1096</v>
      </c>
      <c r="D86">
        <f>SUMIFS(Warehouse!$D$2:$D$6,Warehouse!$B$2:$B$6,A86)</f>
        <v>2200</v>
      </c>
      <c r="E86">
        <f>SUMIFS($C$2:C86,$A$2:A86,A86)</f>
        <v>22046</v>
      </c>
      <c r="F86">
        <f>SUMIFS($J$2:J85,$A$2:A85,A86,$K$2:K85,"&lt;="&amp;B86)</f>
        <v>21436</v>
      </c>
      <c r="G86">
        <f t="shared" si="3"/>
        <v>1590</v>
      </c>
      <c r="H86">
        <f>INDEX(Capacity!$E$3:$E$7,MATCH(A86,Capacity!$D$3:$D$7,0))</f>
        <v>678</v>
      </c>
      <c r="I86">
        <f>INDEX(Capacity!$F$3:$F$7,MATCH(A86,Capacity!$D$3:$D$7,0))</f>
        <v>2632</v>
      </c>
      <c r="J86">
        <f t="shared" si="4"/>
        <v>0</v>
      </c>
      <c r="K86" s="1">
        <f t="shared" si="5"/>
        <v>46209</v>
      </c>
    </row>
    <row r="87" spans="1:11">
      <c r="A87" t="str">
        <f>'Demand Projection'!B87</f>
        <v>SKU PROD B</v>
      </c>
      <c r="B87" s="1">
        <f>'Demand Projection'!C87</f>
        <v>46206</v>
      </c>
      <c r="C87">
        <f>'Demand Projection'!D87</f>
        <v>6570</v>
      </c>
      <c r="D87">
        <f>SUMIFS(Warehouse!$D$2:$D$6,Warehouse!$B$2:$B$6,A87)</f>
        <v>8000</v>
      </c>
      <c r="E87">
        <f>SUMIFS($C$2:C87,$A$2:A87,A87)</f>
        <v>46757</v>
      </c>
      <c r="F87">
        <f>SUMIFS($J$2:J86,$A$2:A86,A87,$K$2:K86,"&lt;="&amp;B87)</f>
        <v>38184</v>
      </c>
      <c r="G87">
        <f t="shared" si="3"/>
        <v>-573</v>
      </c>
      <c r="H87">
        <f>INDEX(Capacity!$E$3:$E$7,MATCH(A87,Capacity!$D$3:$D$7,0))</f>
        <v>376</v>
      </c>
      <c r="I87">
        <f>INDEX(Capacity!$F$3:$F$7,MATCH(A87,Capacity!$D$3:$D$7,0))</f>
        <v>6570</v>
      </c>
      <c r="J87">
        <f t="shared" si="4"/>
        <v>7143</v>
      </c>
      <c r="K87" s="1">
        <f t="shared" si="5"/>
        <v>46209</v>
      </c>
    </row>
    <row r="88" spans="1:11">
      <c r="A88" t="str">
        <f>'Demand Projection'!B88</f>
        <v>SKU PROD A</v>
      </c>
      <c r="B88" s="1">
        <f>'Demand Projection'!C88</f>
        <v>46207</v>
      </c>
      <c r="C88">
        <f>'Demand Projection'!D88</f>
        <v>440</v>
      </c>
      <c r="D88">
        <f>SUMIFS(Warehouse!$D$2:$D$6,Warehouse!$B$2:$B$6,A88)</f>
        <v>2200</v>
      </c>
      <c r="E88">
        <f>SUMIFS($C$2:C88,$A$2:A88,A88)</f>
        <v>22486</v>
      </c>
      <c r="F88">
        <f>SUMIFS($J$2:J87,$A$2:A87,A88,$K$2:K87,"&lt;="&amp;B88)</f>
        <v>21436</v>
      </c>
      <c r="G88">
        <f t="shared" si="3"/>
        <v>1150</v>
      </c>
      <c r="H88">
        <f>INDEX(Capacity!$E$3:$E$7,MATCH(A88,Capacity!$D$3:$D$7,0))</f>
        <v>678</v>
      </c>
      <c r="I88">
        <f>INDEX(Capacity!$F$3:$F$7,MATCH(A88,Capacity!$D$3:$D$7,0))</f>
        <v>2632</v>
      </c>
      <c r="J88">
        <f t="shared" si="4"/>
        <v>0</v>
      </c>
      <c r="K88" s="1">
        <f t="shared" si="5"/>
        <v>46210</v>
      </c>
    </row>
    <row r="89" spans="1:11">
      <c r="A89" t="str">
        <f>'Demand Projection'!B89</f>
        <v>SKU PROD C</v>
      </c>
      <c r="B89" s="1">
        <f>'Demand Projection'!C89</f>
        <v>46208</v>
      </c>
      <c r="C89">
        <f>'Demand Projection'!D89</f>
        <v>988</v>
      </c>
      <c r="D89">
        <f>SUMIFS(Warehouse!$D$2:$D$6,Warehouse!$B$2:$B$6,A89)</f>
        <v>1700</v>
      </c>
      <c r="E89">
        <f>SUMIFS($C$2:C89,$A$2:A89,A89)</f>
        <v>14423</v>
      </c>
      <c r="F89">
        <f>SUMIFS($J$2:J88,$A$2:A88,A89,$K$2:K88,"&lt;="&amp;B89)</f>
        <v>13272</v>
      </c>
      <c r="G89">
        <f t="shared" si="3"/>
        <v>549</v>
      </c>
      <c r="H89">
        <f>INDEX(Capacity!$E$3:$E$7,MATCH(A89,Capacity!$D$3:$D$7,0))</f>
        <v>358</v>
      </c>
      <c r="I89">
        <f>INDEX(Capacity!$F$3:$F$7,MATCH(A89,Capacity!$D$3:$D$7,0))</f>
        <v>1537</v>
      </c>
      <c r="J89">
        <f t="shared" si="4"/>
        <v>0</v>
      </c>
      <c r="K89" s="1">
        <f t="shared" si="5"/>
        <v>46211</v>
      </c>
    </row>
    <row r="90" spans="1:11">
      <c r="A90" t="str">
        <f>'Demand Projection'!B90</f>
        <v>SKU PROD D</v>
      </c>
      <c r="B90" s="1">
        <f>'Demand Projection'!C90</f>
        <v>46209</v>
      </c>
      <c r="C90">
        <f>'Demand Projection'!D90</f>
        <v>659</v>
      </c>
      <c r="D90">
        <f>SUMIFS(Warehouse!$D$2:$D$6,Warehouse!$B$2:$B$6,A90)</f>
        <v>3500</v>
      </c>
      <c r="E90">
        <f>SUMIFS($C$2:C90,$A$2:A90,A90)</f>
        <v>28689</v>
      </c>
      <c r="F90">
        <f>SUMIFS($J$2:J89,$A$2:A89,A90,$K$2:K89,"&lt;="&amp;B90)</f>
        <v>28062</v>
      </c>
      <c r="G90">
        <f t="shared" si="3"/>
        <v>2873</v>
      </c>
      <c r="H90">
        <f>INDEX(Capacity!$E$3:$E$7,MATCH(A90,Capacity!$D$3:$D$7,0))</f>
        <v>430</v>
      </c>
      <c r="I90">
        <f>INDEX(Capacity!$F$3:$F$7,MATCH(A90,Capacity!$D$3:$D$7,0))</f>
        <v>3532</v>
      </c>
      <c r="J90">
        <f t="shared" si="4"/>
        <v>0</v>
      </c>
      <c r="K90" s="1">
        <f t="shared" si="5"/>
        <v>46212</v>
      </c>
    </row>
    <row r="91" spans="1:11">
      <c r="A91" t="str">
        <f>'Demand Projection'!B91</f>
        <v>SKU PROD A</v>
      </c>
      <c r="B91" s="1">
        <f>'Demand Projection'!C91</f>
        <v>46210</v>
      </c>
      <c r="C91">
        <f>'Demand Projection'!D91</f>
        <v>1096</v>
      </c>
      <c r="D91">
        <f>SUMIFS(Warehouse!$D$2:$D$6,Warehouse!$B$2:$B$6,A91)</f>
        <v>2200</v>
      </c>
      <c r="E91">
        <f>SUMIFS($C$2:C91,$A$2:A91,A91)</f>
        <v>23582</v>
      </c>
      <c r="F91">
        <f>SUMIFS($J$2:J90,$A$2:A90,A91,$K$2:K90,"&lt;="&amp;B91)</f>
        <v>21436</v>
      </c>
      <c r="G91">
        <f t="shared" si="3"/>
        <v>54</v>
      </c>
      <c r="H91">
        <f>INDEX(Capacity!$E$3:$E$7,MATCH(A91,Capacity!$D$3:$D$7,0))</f>
        <v>678</v>
      </c>
      <c r="I91">
        <f>INDEX(Capacity!$F$3:$F$7,MATCH(A91,Capacity!$D$3:$D$7,0))</f>
        <v>2632</v>
      </c>
      <c r="J91">
        <f t="shared" si="4"/>
        <v>2578</v>
      </c>
      <c r="K91" s="1">
        <f t="shared" si="5"/>
        <v>46213</v>
      </c>
    </row>
    <row r="92" spans="1:11">
      <c r="A92" t="str">
        <f>'Demand Projection'!B92</f>
        <v>SKU PROD C</v>
      </c>
      <c r="B92" s="1">
        <f>'Demand Projection'!C92</f>
        <v>46212</v>
      </c>
      <c r="C92">
        <f>'Demand Projection'!D92</f>
        <v>549</v>
      </c>
      <c r="D92">
        <f>SUMIFS(Warehouse!$D$2:$D$6,Warehouse!$B$2:$B$6,A92)</f>
        <v>1700</v>
      </c>
      <c r="E92">
        <f>SUMIFS($C$2:C92,$A$2:A92,A92)</f>
        <v>14972</v>
      </c>
      <c r="F92">
        <f>SUMIFS($J$2:J91,$A$2:A91,A92,$K$2:K91,"&lt;="&amp;B92)</f>
        <v>13272</v>
      </c>
      <c r="G92">
        <f t="shared" si="3"/>
        <v>0</v>
      </c>
      <c r="H92">
        <f>INDEX(Capacity!$E$3:$E$7,MATCH(A92,Capacity!$D$3:$D$7,0))</f>
        <v>358</v>
      </c>
      <c r="I92">
        <f>INDEX(Capacity!$F$3:$F$7,MATCH(A92,Capacity!$D$3:$D$7,0))</f>
        <v>1537</v>
      </c>
      <c r="J92">
        <f t="shared" si="4"/>
        <v>1537</v>
      </c>
      <c r="K92" s="1">
        <f t="shared" si="5"/>
        <v>46215</v>
      </c>
    </row>
    <row r="93" spans="1:11">
      <c r="A93" t="str">
        <f>'Demand Projection'!B93</f>
        <v>SKU PROD E</v>
      </c>
      <c r="B93" s="1">
        <f>'Demand Projection'!C93</f>
        <v>46215</v>
      </c>
      <c r="C93">
        <f>'Demand Projection'!D93</f>
        <v>363</v>
      </c>
      <c r="D93">
        <f>SUMIFS(Warehouse!$D$2:$D$6,Warehouse!$B$2:$B$6,A93)</f>
        <v>2300</v>
      </c>
      <c r="E93">
        <f>SUMIFS($C$2:C93,$A$2:A93,A93)</f>
        <v>15457</v>
      </c>
      <c r="F93">
        <f>SUMIFS($J$2:J92,$A$2:A92,A93,$K$2:K92,"&lt;="&amp;B93)</f>
        <v>15151</v>
      </c>
      <c r="G93">
        <f t="shared" si="3"/>
        <v>1994</v>
      </c>
      <c r="H93">
        <f>INDEX(Capacity!$E$3:$E$7,MATCH(A93,Capacity!$D$3:$D$7,0))</f>
        <v>250</v>
      </c>
      <c r="I93">
        <f>INDEX(Capacity!$F$3:$F$7,MATCH(A93,Capacity!$D$3:$D$7,0))</f>
        <v>2357</v>
      </c>
      <c r="J93">
        <f t="shared" si="4"/>
        <v>0</v>
      </c>
      <c r="K93" s="1">
        <f t="shared" si="5"/>
        <v>46218</v>
      </c>
    </row>
    <row r="94" spans="1:11">
      <c r="A94" t="str">
        <f>'Demand Projection'!B94</f>
        <v>SKU PROD B</v>
      </c>
      <c r="B94" s="1">
        <f>'Demand Projection'!C94</f>
        <v>46216</v>
      </c>
      <c r="C94">
        <f>'Demand Projection'!D94</f>
        <v>545</v>
      </c>
      <c r="D94">
        <f>SUMIFS(Warehouse!$D$2:$D$6,Warehouse!$B$2:$B$6,A94)</f>
        <v>8000</v>
      </c>
      <c r="E94">
        <f>SUMIFS($C$2:C94,$A$2:A94,A94)</f>
        <v>47302</v>
      </c>
      <c r="F94">
        <f>SUMIFS($J$2:J93,$A$2:A93,A94,$K$2:K93,"&lt;="&amp;B94)</f>
        <v>45327</v>
      </c>
      <c r="G94">
        <f t="shared" si="3"/>
        <v>6025</v>
      </c>
      <c r="H94">
        <f>INDEX(Capacity!$E$3:$E$7,MATCH(A94,Capacity!$D$3:$D$7,0))</f>
        <v>376</v>
      </c>
      <c r="I94">
        <f>INDEX(Capacity!$F$3:$F$7,MATCH(A94,Capacity!$D$3:$D$7,0))</f>
        <v>6570</v>
      </c>
      <c r="J94">
        <f t="shared" si="4"/>
        <v>0</v>
      </c>
      <c r="K94" s="1">
        <f t="shared" si="5"/>
        <v>46219</v>
      </c>
    </row>
    <row r="95" spans="1:11">
      <c r="A95" t="str">
        <f>'Demand Projection'!B95</f>
        <v>SKU PROD D</v>
      </c>
      <c r="B95" s="1">
        <f>'Demand Projection'!C95</f>
        <v>46220</v>
      </c>
      <c r="C95">
        <f>'Demand Projection'!D95</f>
        <v>775</v>
      </c>
      <c r="D95">
        <f>SUMIFS(Warehouse!$D$2:$D$6,Warehouse!$B$2:$B$6,A95)</f>
        <v>3500</v>
      </c>
      <c r="E95">
        <f>SUMIFS($C$2:C95,$A$2:A95,A95)</f>
        <v>29464</v>
      </c>
      <c r="F95">
        <f>SUMIFS($J$2:J94,$A$2:A94,A95,$K$2:K94,"&lt;="&amp;B95)</f>
        <v>28062</v>
      </c>
      <c r="G95">
        <f t="shared" si="3"/>
        <v>2098</v>
      </c>
      <c r="H95">
        <f>INDEX(Capacity!$E$3:$E$7,MATCH(A95,Capacity!$D$3:$D$7,0))</f>
        <v>430</v>
      </c>
      <c r="I95">
        <f>INDEX(Capacity!$F$3:$F$7,MATCH(A95,Capacity!$D$3:$D$7,0))</f>
        <v>3532</v>
      </c>
      <c r="J95">
        <f t="shared" si="4"/>
        <v>0</v>
      </c>
      <c r="K95" s="1">
        <f t="shared" si="5"/>
        <v>46223</v>
      </c>
    </row>
    <row r="96" spans="1:11">
      <c r="A96" t="str">
        <f>'Demand Projection'!B96</f>
        <v>SKU PROD C</v>
      </c>
      <c r="B96" s="1">
        <f>'Demand Projection'!C96</f>
        <v>46223</v>
      </c>
      <c r="C96">
        <f>'Demand Projection'!D96</f>
        <v>713</v>
      </c>
      <c r="D96">
        <f>SUMIFS(Warehouse!$D$2:$D$6,Warehouse!$B$2:$B$6,A96)</f>
        <v>1700</v>
      </c>
      <c r="E96">
        <f>SUMIFS($C$2:C96,$A$2:A96,A96)</f>
        <v>15685</v>
      </c>
      <c r="F96">
        <f>SUMIFS($J$2:J95,$A$2:A95,A96,$K$2:K95,"&lt;="&amp;B96)</f>
        <v>14809</v>
      </c>
      <c r="G96">
        <f t="shared" si="3"/>
        <v>824</v>
      </c>
      <c r="H96">
        <f>INDEX(Capacity!$E$3:$E$7,MATCH(A96,Capacity!$D$3:$D$7,0))</f>
        <v>358</v>
      </c>
      <c r="I96">
        <f>INDEX(Capacity!$F$3:$F$7,MATCH(A96,Capacity!$D$3:$D$7,0))</f>
        <v>1537</v>
      </c>
      <c r="J96">
        <f t="shared" si="4"/>
        <v>0</v>
      </c>
      <c r="K96" s="1">
        <f t="shared" si="5"/>
        <v>46226</v>
      </c>
    </row>
    <row r="97" spans="1:11">
      <c r="A97" t="str">
        <f>'Demand Projection'!B97</f>
        <v>SKU PROD A</v>
      </c>
      <c r="B97" s="1">
        <f>'Demand Projection'!C97</f>
        <v>46227</v>
      </c>
      <c r="C97">
        <f>'Demand Projection'!D97</f>
        <v>985</v>
      </c>
      <c r="D97">
        <f>SUMIFS(Warehouse!$D$2:$D$6,Warehouse!$B$2:$B$6,A97)</f>
        <v>2200</v>
      </c>
      <c r="E97">
        <f>SUMIFS($C$2:C97,$A$2:A97,A97)</f>
        <v>24567</v>
      </c>
      <c r="F97">
        <f>SUMIFS($J$2:J96,$A$2:A96,A97,$K$2:K96,"&lt;="&amp;B97)</f>
        <v>24014</v>
      </c>
      <c r="G97">
        <f t="shared" si="3"/>
        <v>1647</v>
      </c>
      <c r="H97">
        <f>INDEX(Capacity!$E$3:$E$7,MATCH(A97,Capacity!$D$3:$D$7,0))</f>
        <v>678</v>
      </c>
      <c r="I97">
        <f>INDEX(Capacity!$F$3:$F$7,MATCH(A97,Capacity!$D$3:$D$7,0))</f>
        <v>2632</v>
      </c>
      <c r="J97">
        <f t="shared" si="4"/>
        <v>0</v>
      </c>
      <c r="K97" s="1">
        <f t="shared" si="5"/>
        <v>46230</v>
      </c>
    </row>
    <row r="98" spans="1:11">
      <c r="A98" t="str">
        <f>'Demand Projection'!B98</f>
        <v>SKU PROD D</v>
      </c>
      <c r="B98" s="1">
        <f>'Demand Projection'!C98</f>
        <v>46231</v>
      </c>
      <c r="C98">
        <f>'Demand Projection'!D98</f>
        <v>2949</v>
      </c>
      <c r="D98">
        <f>SUMIFS(Warehouse!$D$2:$D$6,Warehouse!$B$2:$B$6,A98)</f>
        <v>3500</v>
      </c>
      <c r="E98">
        <f>SUMIFS($C$2:C98,$A$2:A98,A98)</f>
        <v>32413</v>
      </c>
      <c r="F98">
        <f>SUMIFS($J$2:J97,$A$2:A97,A98,$K$2:K97,"&lt;="&amp;B98)</f>
        <v>28062</v>
      </c>
      <c r="G98">
        <f t="shared" si="3"/>
        <v>-851</v>
      </c>
      <c r="H98">
        <f>INDEX(Capacity!$E$3:$E$7,MATCH(A98,Capacity!$D$3:$D$7,0))</f>
        <v>430</v>
      </c>
      <c r="I98">
        <f>INDEX(Capacity!$F$3:$F$7,MATCH(A98,Capacity!$D$3:$D$7,0))</f>
        <v>3532</v>
      </c>
      <c r="J98">
        <f t="shared" si="4"/>
        <v>4383</v>
      </c>
      <c r="K98" s="1">
        <f t="shared" si="5"/>
        <v>46234</v>
      </c>
    </row>
    <row r="99" spans="1:11">
      <c r="A99" t="str">
        <f>'Demand Projection'!B99</f>
        <v>SKU PROD E</v>
      </c>
      <c r="B99" s="1">
        <f>'Demand Projection'!C99</f>
        <v>46231</v>
      </c>
      <c r="C99">
        <f>'Demand Projection'!D99</f>
        <v>1967</v>
      </c>
      <c r="D99">
        <f>SUMIFS(Warehouse!$D$2:$D$6,Warehouse!$B$2:$B$6,A99)</f>
        <v>2300</v>
      </c>
      <c r="E99">
        <f>SUMIFS($C$2:C99,$A$2:A99,A99)</f>
        <v>17424</v>
      </c>
      <c r="F99">
        <f>SUMIFS($J$2:J98,$A$2:A98,A99,$K$2:K98,"&lt;="&amp;B99)</f>
        <v>15151</v>
      </c>
      <c r="G99">
        <f t="shared" si="3"/>
        <v>27</v>
      </c>
      <c r="H99">
        <f>INDEX(Capacity!$E$3:$E$7,MATCH(A99,Capacity!$D$3:$D$7,0))</f>
        <v>250</v>
      </c>
      <c r="I99">
        <f>INDEX(Capacity!$F$3:$F$7,MATCH(A99,Capacity!$D$3:$D$7,0))</f>
        <v>2357</v>
      </c>
      <c r="J99">
        <f t="shared" si="4"/>
        <v>2330</v>
      </c>
      <c r="K99" s="1">
        <f t="shared" si="5"/>
        <v>46234</v>
      </c>
    </row>
    <row r="100" spans="1:11">
      <c r="A100" t="str">
        <f>'Demand Projection'!B100</f>
        <v>SKU PROD A</v>
      </c>
      <c r="B100" s="1">
        <f>'Demand Projection'!C100</f>
        <v>46237</v>
      </c>
      <c r="C100">
        <f>'Demand Projection'!D100</f>
        <v>932</v>
      </c>
      <c r="D100">
        <f>SUMIFS(Warehouse!$D$2:$D$6,Warehouse!$B$2:$B$6,A100)</f>
        <v>2200</v>
      </c>
      <c r="E100">
        <f>SUMIFS($C$2:C100,$A$2:A100,A100)</f>
        <v>25499</v>
      </c>
      <c r="F100">
        <f>SUMIFS($J$2:J99,$A$2:A99,A100,$K$2:K99,"&lt;="&amp;B100)</f>
        <v>24014</v>
      </c>
      <c r="G100">
        <f t="shared" si="3"/>
        <v>715</v>
      </c>
      <c r="H100">
        <f>INDEX(Capacity!$E$3:$E$7,MATCH(A100,Capacity!$D$3:$D$7,0))</f>
        <v>678</v>
      </c>
      <c r="I100">
        <f>INDEX(Capacity!$F$3:$F$7,MATCH(A100,Capacity!$D$3:$D$7,0))</f>
        <v>2632</v>
      </c>
      <c r="J100">
        <f t="shared" si="4"/>
        <v>0</v>
      </c>
      <c r="K100" s="1">
        <f t="shared" si="5"/>
        <v>46240</v>
      </c>
    </row>
    <row r="101" spans="1:11">
      <c r="A101" t="str">
        <f>'Demand Projection'!B101</f>
        <v>SKU PROD B</v>
      </c>
      <c r="B101" s="1">
        <f>'Demand Projection'!C101</f>
        <v>46237</v>
      </c>
      <c r="C101">
        <f>'Demand Projection'!D101</f>
        <v>5585</v>
      </c>
      <c r="D101">
        <f>SUMIFS(Warehouse!$D$2:$D$6,Warehouse!$B$2:$B$6,A101)</f>
        <v>8000</v>
      </c>
      <c r="E101">
        <f>SUMIFS($C$2:C101,$A$2:A101,A101)</f>
        <v>52887</v>
      </c>
      <c r="F101">
        <f>SUMIFS($J$2:J100,$A$2:A100,A101,$K$2:K100,"&lt;="&amp;B101)</f>
        <v>45327</v>
      </c>
      <c r="G101">
        <f t="shared" si="3"/>
        <v>440</v>
      </c>
      <c r="H101">
        <f>INDEX(Capacity!$E$3:$E$7,MATCH(A101,Capacity!$D$3:$D$7,0))</f>
        <v>376</v>
      </c>
      <c r="I101">
        <f>INDEX(Capacity!$F$3:$F$7,MATCH(A101,Capacity!$D$3:$D$7,0))</f>
        <v>6570</v>
      </c>
      <c r="J101">
        <f t="shared" si="4"/>
        <v>0</v>
      </c>
      <c r="K101" s="1">
        <f t="shared" si="5"/>
        <v>46240</v>
      </c>
    </row>
    <row r="102" spans="1:11">
      <c r="A102" t="str">
        <f>'Demand Projection'!B102</f>
        <v>SKU PROD A</v>
      </c>
      <c r="B102" s="1">
        <f>'Demand Projection'!C102</f>
        <v>46238</v>
      </c>
      <c r="C102">
        <f>'Demand Projection'!D102</f>
        <v>374</v>
      </c>
      <c r="D102">
        <f>SUMIFS(Warehouse!$D$2:$D$6,Warehouse!$B$2:$B$6,A102)</f>
        <v>2200</v>
      </c>
      <c r="E102">
        <f>SUMIFS($C$2:C102,$A$2:A102,A102)</f>
        <v>25873</v>
      </c>
      <c r="F102">
        <f>SUMIFS($J$2:J101,$A$2:A101,A102,$K$2:K101,"&lt;="&amp;B102)</f>
        <v>24014</v>
      </c>
      <c r="G102">
        <f t="shared" si="3"/>
        <v>341</v>
      </c>
      <c r="H102">
        <f>INDEX(Capacity!$E$3:$E$7,MATCH(A102,Capacity!$D$3:$D$7,0))</f>
        <v>678</v>
      </c>
      <c r="I102">
        <f>INDEX(Capacity!$F$3:$F$7,MATCH(A102,Capacity!$D$3:$D$7,0))</f>
        <v>2632</v>
      </c>
      <c r="J102">
        <f t="shared" si="4"/>
        <v>2291</v>
      </c>
      <c r="K102" s="1">
        <f t="shared" si="5"/>
        <v>46241</v>
      </c>
    </row>
    <row r="103" spans="1:11">
      <c r="A103" t="str">
        <f>'Demand Projection'!B103</f>
        <v>SKU PROD C</v>
      </c>
      <c r="B103" s="1">
        <f>'Demand Projection'!C103</f>
        <v>46239</v>
      </c>
      <c r="C103">
        <f>'Demand Projection'!D103</f>
        <v>840</v>
      </c>
      <c r="D103">
        <f>SUMIFS(Warehouse!$D$2:$D$6,Warehouse!$B$2:$B$6,A103)</f>
        <v>1700</v>
      </c>
      <c r="E103">
        <f>SUMIFS($C$2:C103,$A$2:A103,A103)</f>
        <v>16525</v>
      </c>
      <c r="F103">
        <f>SUMIFS($J$2:J102,$A$2:A102,A103,$K$2:K102,"&lt;="&amp;B103)</f>
        <v>14809</v>
      </c>
      <c r="G103">
        <f t="shared" si="3"/>
        <v>-16</v>
      </c>
      <c r="H103">
        <f>INDEX(Capacity!$E$3:$E$7,MATCH(A103,Capacity!$D$3:$D$7,0))</f>
        <v>358</v>
      </c>
      <c r="I103">
        <f>INDEX(Capacity!$F$3:$F$7,MATCH(A103,Capacity!$D$3:$D$7,0))</f>
        <v>1537</v>
      </c>
      <c r="J103">
        <f t="shared" si="4"/>
        <v>1553</v>
      </c>
      <c r="K103" s="1">
        <f t="shared" si="5"/>
        <v>46242</v>
      </c>
    </row>
    <row r="104" spans="1:11">
      <c r="A104" t="str">
        <f>'Demand Projection'!B104</f>
        <v>SKU PROD D</v>
      </c>
      <c r="B104" s="1">
        <f>'Demand Projection'!C104</f>
        <v>46240</v>
      </c>
      <c r="C104">
        <f>'Demand Projection'!D104</f>
        <v>561</v>
      </c>
      <c r="D104">
        <f>SUMIFS(Warehouse!$D$2:$D$6,Warehouse!$B$2:$B$6,A104)</f>
        <v>3500</v>
      </c>
      <c r="E104">
        <f>SUMIFS($C$2:C104,$A$2:A104,A104)</f>
        <v>32974</v>
      </c>
      <c r="F104">
        <f>SUMIFS($J$2:J103,$A$2:A103,A104,$K$2:K103,"&lt;="&amp;B104)</f>
        <v>32445</v>
      </c>
      <c r="G104">
        <f t="shared" si="3"/>
        <v>2971</v>
      </c>
      <c r="H104">
        <f>INDEX(Capacity!$E$3:$E$7,MATCH(A104,Capacity!$D$3:$D$7,0))</f>
        <v>430</v>
      </c>
      <c r="I104">
        <f>INDEX(Capacity!$F$3:$F$7,MATCH(A104,Capacity!$D$3:$D$7,0))</f>
        <v>3532</v>
      </c>
      <c r="J104">
        <f t="shared" si="4"/>
        <v>0</v>
      </c>
      <c r="K104" s="1">
        <f t="shared" si="5"/>
        <v>46243</v>
      </c>
    </row>
    <row r="105" spans="1:11">
      <c r="A105" t="str">
        <f>'Demand Projection'!B105</f>
        <v>SKU PROD A</v>
      </c>
      <c r="B105" s="1">
        <f>'Demand Projection'!C105</f>
        <v>46241</v>
      </c>
      <c r="C105">
        <f>'Demand Projection'!D105</f>
        <v>932</v>
      </c>
      <c r="D105">
        <f>SUMIFS(Warehouse!$D$2:$D$6,Warehouse!$B$2:$B$6,A105)</f>
        <v>2200</v>
      </c>
      <c r="E105">
        <f>SUMIFS($C$2:C105,$A$2:A105,A105)</f>
        <v>26805</v>
      </c>
      <c r="F105">
        <f>SUMIFS($J$2:J104,$A$2:A104,A105,$K$2:K104,"&lt;="&amp;B105)</f>
        <v>26305</v>
      </c>
      <c r="G105">
        <f t="shared" si="3"/>
        <v>1700</v>
      </c>
      <c r="H105">
        <f>INDEX(Capacity!$E$3:$E$7,MATCH(A105,Capacity!$D$3:$D$7,0))</f>
        <v>678</v>
      </c>
      <c r="I105">
        <f>INDEX(Capacity!$F$3:$F$7,MATCH(A105,Capacity!$D$3:$D$7,0))</f>
        <v>2632</v>
      </c>
      <c r="J105">
        <f t="shared" si="4"/>
        <v>0</v>
      </c>
      <c r="K105" s="1">
        <f t="shared" si="5"/>
        <v>46244</v>
      </c>
    </row>
    <row r="106" spans="1:11">
      <c r="A106" t="str">
        <f>'Demand Projection'!B106</f>
        <v>SKU PROD C</v>
      </c>
      <c r="B106" s="1">
        <f>'Demand Projection'!C106</f>
        <v>46243</v>
      </c>
      <c r="C106">
        <f>'Demand Projection'!D106</f>
        <v>467</v>
      </c>
      <c r="D106">
        <f>SUMIFS(Warehouse!$D$2:$D$6,Warehouse!$B$2:$B$6,A106)</f>
        <v>1700</v>
      </c>
      <c r="E106">
        <f>SUMIFS($C$2:C106,$A$2:A106,A106)</f>
        <v>16992</v>
      </c>
      <c r="F106">
        <f>SUMIFS($J$2:J105,$A$2:A105,A106,$K$2:K105,"&lt;="&amp;B106)</f>
        <v>16362</v>
      </c>
      <c r="G106">
        <f t="shared" si="3"/>
        <v>1070</v>
      </c>
      <c r="H106">
        <f>INDEX(Capacity!$E$3:$E$7,MATCH(A106,Capacity!$D$3:$D$7,0))</f>
        <v>358</v>
      </c>
      <c r="I106">
        <f>INDEX(Capacity!$F$3:$F$7,MATCH(A106,Capacity!$D$3:$D$7,0))</f>
        <v>1537</v>
      </c>
      <c r="J106">
        <f t="shared" si="4"/>
        <v>0</v>
      </c>
      <c r="K106" s="1">
        <f t="shared" si="5"/>
        <v>46246</v>
      </c>
    </row>
    <row r="107" spans="1:11">
      <c r="A107" t="str">
        <f>'Demand Projection'!B107</f>
        <v>SKU PROD E</v>
      </c>
      <c r="B107" s="1">
        <f>'Demand Projection'!C107</f>
        <v>46246</v>
      </c>
      <c r="C107">
        <f>'Demand Projection'!D107</f>
        <v>309</v>
      </c>
      <c r="D107">
        <f>SUMIFS(Warehouse!$D$2:$D$6,Warehouse!$B$2:$B$6,A107)</f>
        <v>2300</v>
      </c>
      <c r="E107">
        <f>SUMIFS($C$2:C107,$A$2:A107,A107)</f>
        <v>17733</v>
      </c>
      <c r="F107">
        <f>SUMIFS($J$2:J106,$A$2:A106,A107,$K$2:K106,"&lt;="&amp;B107)</f>
        <v>17481</v>
      </c>
      <c r="G107">
        <f t="shared" si="3"/>
        <v>2048</v>
      </c>
      <c r="H107">
        <f>INDEX(Capacity!$E$3:$E$7,MATCH(A107,Capacity!$D$3:$D$7,0))</f>
        <v>250</v>
      </c>
      <c r="I107">
        <f>INDEX(Capacity!$F$3:$F$7,MATCH(A107,Capacity!$D$3:$D$7,0))</f>
        <v>2357</v>
      </c>
      <c r="J107">
        <f t="shared" si="4"/>
        <v>0</v>
      </c>
      <c r="K107" s="1">
        <f t="shared" si="5"/>
        <v>46249</v>
      </c>
    </row>
    <row r="108" spans="1:11">
      <c r="A108" t="str">
        <f>'Demand Projection'!B108</f>
        <v>SKU PROD B</v>
      </c>
      <c r="B108" s="1">
        <f>'Demand Projection'!C108</f>
        <v>46247</v>
      </c>
      <c r="C108">
        <f>'Demand Projection'!D108</f>
        <v>464</v>
      </c>
      <c r="D108">
        <f>SUMIFS(Warehouse!$D$2:$D$6,Warehouse!$B$2:$B$6,A108)</f>
        <v>8000</v>
      </c>
      <c r="E108">
        <f>SUMIFS($C$2:C108,$A$2:A108,A108)</f>
        <v>53351</v>
      </c>
      <c r="F108">
        <f>SUMIFS($J$2:J107,$A$2:A107,A108,$K$2:K107,"&lt;="&amp;B108)</f>
        <v>45327</v>
      </c>
      <c r="G108">
        <f t="shared" si="3"/>
        <v>-24</v>
      </c>
      <c r="H108">
        <f>INDEX(Capacity!$E$3:$E$7,MATCH(A108,Capacity!$D$3:$D$7,0))</f>
        <v>376</v>
      </c>
      <c r="I108">
        <f>INDEX(Capacity!$F$3:$F$7,MATCH(A108,Capacity!$D$3:$D$7,0))</f>
        <v>6570</v>
      </c>
      <c r="J108">
        <f t="shared" si="4"/>
        <v>6594</v>
      </c>
      <c r="K108" s="1">
        <f t="shared" si="5"/>
        <v>46250</v>
      </c>
    </row>
    <row r="109" spans="1:11">
      <c r="A109" t="str">
        <f>'Demand Projection'!B109</f>
        <v>SKU PROD D</v>
      </c>
      <c r="B109" s="1">
        <f>'Demand Projection'!C109</f>
        <v>46251</v>
      </c>
      <c r="C109">
        <f>'Demand Projection'!D109</f>
        <v>659</v>
      </c>
      <c r="D109">
        <f>SUMIFS(Warehouse!$D$2:$D$6,Warehouse!$B$2:$B$6,A109)</f>
        <v>3500</v>
      </c>
      <c r="E109">
        <f>SUMIFS($C$2:C109,$A$2:A109,A109)</f>
        <v>33633</v>
      </c>
      <c r="F109">
        <f>SUMIFS($J$2:J108,$A$2:A108,A109,$K$2:K108,"&lt;="&amp;B109)</f>
        <v>32445</v>
      </c>
      <c r="G109">
        <f t="shared" si="3"/>
        <v>2312</v>
      </c>
      <c r="H109">
        <f>INDEX(Capacity!$E$3:$E$7,MATCH(A109,Capacity!$D$3:$D$7,0))</f>
        <v>430</v>
      </c>
      <c r="I109">
        <f>INDEX(Capacity!$F$3:$F$7,MATCH(A109,Capacity!$D$3:$D$7,0))</f>
        <v>3532</v>
      </c>
      <c r="J109">
        <f t="shared" si="4"/>
        <v>0</v>
      </c>
      <c r="K109" s="1">
        <f t="shared" si="5"/>
        <v>46254</v>
      </c>
    </row>
    <row r="110" spans="1:11">
      <c r="A110" t="str">
        <f>'Demand Projection'!B110</f>
        <v>SKU PROD C</v>
      </c>
      <c r="B110" s="1">
        <f>'Demand Projection'!C110</f>
        <v>46254</v>
      </c>
      <c r="C110">
        <f>'Demand Projection'!D110</f>
        <v>607</v>
      </c>
      <c r="D110">
        <f>SUMIFS(Warehouse!$D$2:$D$6,Warehouse!$B$2:$B$6,A110)</f>
        <v>1700</v>
      </c>
      <c r="E110">
        <f>SUMIFS($C$2:C110,$A$2:A110,A110)</f>
        <v>17599</v>
      </c>
      <c r="F110">
        <f>SUMIFS($J$2:J109,$A$2:A109,A110,$K$2:K109,"&lt;="&amp;B110)</f>
        <v>16362</v>
      </c>
      <c r="G110">
        <f t="shared" si="3"/>
        <v>463</v>
      </c>
      <c r="H110">
        <f>INDEX(Capacity!$E$3:$E$7,MATCH(A110,Capacity!$D$3:$D$7,0))</f>
        <v>358</v>
      </c>
      <c r="I110">
        <f>INDEX(Capacity!$F$3:$F$7,MATCH(A110,Capacity!$D$3:$D$7,0))</f>
        <v>1537</v>
      </c>
      <c r="J110">
        <f t="shared" si="4"/>
        <v>0</v>
      </c>
      <c r="K110" s="1">
        <f t="shared" si="5"/>
        <v>46257</v>
      </c>
    </row>
    <row r="111" spans="1:11">
      <c r="A111" t="str">
        <f>'Demand Projection'!B111</f>
        <v>SKU PROD A</v>
      </c>
      <c r="B111" s="1">
        <f>'Demand Projection'!C111</f>
        <v>46258</v>
      </c>
      <c r="C111">
        <f>'Demand Projection'!D111</f>
        <v>838</v>
      </c>
      <c r="D111">
        <f>SUMIFS(Warehouse!$D$2:$D$6,Warehouse!$B$2:$B$6,A111)</f>
        <v>2200</v>
      </c>
      <c r="E111">
        <f>SUMIFS($C$2:C111,$A$2:A111,A111)</f>
        <v>27643</v>
      </c>
      <c r="F111">
        <f>SUMIFS($J$2:J110,$A$2:A110,A111,$K$2:K110,"&lt;="&amp;B111)</f>
        <v>26305</v>
      </c>
      <c r="G111">
        <f t="shared" si="3"/>
        <v>862</v>
      </c>
      <c r="H111">
        <f>INDEX(Capacity!$E$3:$E$7,MATCH(A111,Capacity!$D$3:$D$7,0))</f>
        <v>678</v>
      </c>
      <c r="I111">
        <f>INDEX(Capacity!$F$3:$F$7,MATCH(A111,Capacity!$D$3:$D$7,0))</f>
        <v>2632</v>
      </c>
      <c r="J111">
        <f t="shared" si="4"/>
        <v>0</v>
      </c>
      <c r="K111" s="1">
        <f t="shared" si="5"/>
        <v>46261</v>
      </c>
    </row>
    <row r="112" spans="1:11">
      <c r="A112" t="str">
        <f>'Demand Projection'!B112</f>
        <v>SKU PROD D</v>
      </c>
      <c r="B112" s="1">
        <f>'Demand Projection'!C112</f>
        <v>46262</v>
      </c>
      <c r="C112">
        <f>'Demand Projection'!D112</f>
        <v>3038</v>
      </c>
      <c r="D112">
        <f>SUMIFS(Warehouse!$D$2:$D$6,Warehouse!$B$2:$B$6,A112)</f>
        <v>3500</v>
      </c>
      <c r="E112">
        <f>SUMIFS($C$2:C112,$A$2:A112,A112)</f>
        <v>36671</v>
      </c>
      <c r="F112">
        <f>SUMIFS($J$2:J111,$A$2:A111,A112,$K$2:K111,"&lt;="&amp;B112)</f>
        <v>32445</v>
      </c>
      <c r="G112">
        <f t="shared" si="3"/>
        <v>-726</v>
      </c>
      <c r="H112">
        <f>INDEX(Capacity!$E$3:$E$7,MATCH(A112,Capacity!$D$3:$D$7,0))</f>
        <v>430</v>
      </c>
      <c r="I112">
        <f>INDEX(Capacity!$F$3:$F$7,MATCH(A112,Capacity!$D$3:$D$7,0))</f>
        <v>3532</v>
      </c>
      <c r="J112">
        <f t="shared" si="4"/>
        <v>4258</v>
      </c>
      <c r="K112" s="1">
        <f t="shared" si="5"/>
        <v>46265</v>
      </c>
    </row>
    <row r="113" spans="1:11">
      <c r="A113" t="str">
        <f>'Demand Projection'!B113</f>
        <v>SKU PROD E</v>
      </c>
      <c r="B113" s="1">
        <f>'Demand Projection'!C113</f>
        <v>46262</v>
      </c>
      <c r="C113">
        <f>'Demand Projection'!D113</f>
        <v>2027</v>
      </c>
      <c r="D113">
        <f>SUMIFS(Warehouse!$D$2:$D$6,Warehouse!$B$2:$B$6,A113)</f>
        <v>2300</v>
      </c>
      <c r="E113">
        <f>SUMIFS($C$2:C113,$A$2:A113,A113)</f>
        <v>19760</v>
      </c>
      <c r="F113">
        <f>SUMIFS($J$2:J112,$A$2:A112,A113,$K$2:K112,"&lt;="&amp;B113)</f>
        <v>17481</v>
      </c>
      <c r="G113">
        <f t="shared" si="3"/>
        <v>21</v>
      </c>
      <c r="H113">
        <f>INDEX(Capacity!$E$3:$E$7,MATCH(A113,Capacity!$D$3:$D$7,0))</f>
        <v>250</v>
      </c>
      <c r="I113">
        <f>INDEX(Capacity!$F$3:$F$7,MATCH(A113,Capacity!$D$3:$D$7,0))</f>
        <v>2357</v>
      </c>
      <c r="J113">
        <f t="shared" si="4"/>
        <v>2336</v>
      </c>
      <c r="K113" s="1">
        <f t="shared" si="5"/>
        <v>46265</v>
      </c>
    </row>
    <row r="114" spans="1:11">
      <c r="A114" t="str">
        <f>'Demand Projection'!B114</f>
        <v>SKU PROD A</v>
      </c>
      <c r="B114" s="1">
        <f>'Demand Projection'!C114</f>
        <v>46268</v>
      </c>
      <c r="C114">
        <f>'Demand Projection'!D114</f>
        <v>793</v>
      </c>
      <c r="D114">
        <f>SUMIFS(Warehouse!$D$2:$D$6,Warehouse!$B$2:$B$6,A114)</f>
        <v>2200</v>
      </c>
      <c r="E114">
        <f>SUMIFS($C$2:C114,$A$2:A114,A114)</f>
        <v>28436</v>
      </c>
      <c r="F114">
        <f>SUMIFS($J$2:J113,$A$2:A113,A114,$K$2:K113,"&lt;="&amp;B114)</f>
        <v>26305</v>
      </c>
      <c r="G114">
        <f t="shared" si="3"/>
        <v>69</v>
      </c>
      <c r="H114">
        <f>INDEX(Capacity!$E$3:$E$7,MATCH(A114,Capacity!$D$3:$D$7,0))</f>
        <v>678</v>
      </c>
      <c r="I114">
        <f>INDEX(Capacity!$F$3:$F$7,MATCH(A114,Capacity!$D$3:$D$7,0))</f>
        <v>2632</v>
      </c>
      <c r="J114">
        <f t="shared" si="4"/>
        <v>2563</v>
      </c>
      <c r="K114" s="1">
        <f t="shared" si="5"/>
        <v>46271</v>
      </c>
    </row>
    <row r="115" spans="1:11">
      <c r="A115" t="str">
        <f>'Demand Projection'!B115</f>
        <v>SKU PROD B</v>
      </c>
      <c r="B115" s="1">
        <f>'Demand Projection'!C115</f>
        <v>46268</v>
      </c>
      <c r="C115">
        <f>'Demand Projection'!D115</f>
        <v>4748</v>
      </c>
      <c r="D115">
        <f>SUMIFS(Warehouse!$D$2:$D$6,Warehouse!$B$2:$B$6,A115)</f>
        <v>8000</v>
      </c>
      <c r="E115">
        <f>SUMIFS($C$2:C115,$A$2:A115,A115)</f>
        <v>58099</v>
      </c>
      <c r="F115">
        <f>SUMIFS($J$2:J114,$A$2:A114,A115,$K$2:K114,"&lt;="&amp;B115)</f>
        <v>51921</v>
      </c>
      <c r="G115">
        <f t="shared" si="3"/>
        <v>1822</v>
      </c>
      <c r="H115">
        <f>INDEX(Capacity!$E$3:$E$7,MATCH(A115,Capacity!$D$3:$D$7,0))</f>
        <v>376</v>
      </c>
      <c r="I115">
        <f>INDEX(Capacity!$F$3:$F$7,MATCH(A115,Capacity!$D$3:$D$7,0))</f>
        <v>6570</v>
      </c>
      <c r="J115">
        <f t="shared" si="4"/>
        <v>0</v>
      </c>
      <c r="K115" s="1">
        <f t="shared" si="5"/>
        <v>46271</v>
      </c>
    </row>
    <row r="116" spans="1:11">
      <c r="A116" t="str">
        <f>'Demand Projection'!B116</f>
        <v>SKU PROD A</v>
      </c>
      <c r="B116" s="1">
        <f>'Demand Projection'!C116</f>
        <v>46269</v>
      </c>
      <c r="C116">
        <f>'Demand Projection'!D116</f>
        <v>318</v>
      </c>
      <c r="D116">
        <f>SUMIFS(Warehouse!$D$2:$D$6,Warehouse!$B$2:$B$6,A116)</f>
        <v>2200</v>
      </c>
      <c r="E116">
        <f>SUMIFS($C$2:C116,$A$2:A116,A116)</f>
        <v>28754</v>
      </c>
      <c r="F116">
        <f>SUMIFS($J$2:J115,$A$2:A115,A116,$K$2:K115,"&lt;="&amp;B116)</f>
        <v>26305</v>
      </c>
      <c r="G116">
        <f t="shared" si="3"/>
        <v>-249</v>
      </c>
      <c r="H116">
        <f>INDEX(Capacity!$E$3:$E$7,MATCH(A116,Capacity!$D$3:$D$7,0))</f>
        <v>678</v>
      </c>
      <c r="I116">
        <f>INDEX(Capacity!$F$3:$F$7,MATCH(A116,Capacity!$D$3:$D$7,0))</f>
        <v>2632</v>
      </c>
      <c r="J116">
        <f t="shared" si="4"/>
        <v>2881</v>
      </c>
      <c r="K116" s="1">
        <f t="shared" si="5"/>
        <v>46272</v>
      </c>
    </row>
    <row r="117" spans="1:11">
      <c r="A117" t="str">
        <f>'Demand Projection'!B117</f>
        <v>SKU PROD C</v>
      </c>
      <c r="B117" s="1">
        <f>'Demand Projection'!C117</f>
        <v>46270</v>
      </c>
      <c r="C117">
        <f>'Demand Projection'!D117</f>
        <v>714</v>
      </c>
      <c r="D117">
        <f>SUMIFS(Warehouse!$D$2:$D$6,Warehouse!$B$2:$B$6,A117)</f>
        <v>1700</v>
      </c>
      <c r="E117">
        <f>SUMIFS($C$2:C117,$A$2:A117,A117)</f>
        <v>18313</v>
      </c>
      <c r="F117">
        <f>SUMIFS($J$2:J116,$A$2:A116,A117,$K$2:K116,"&lt;="&amp;B117)</f>
        <v>16362</v>
      </c>
      <c r="G117">
        <f t="shared" si="3"/>
        <v>-251</v>
      </c>
      <c r="H117">
        <f>INDEX(Capacity!$E$3:$E$7,MATCH(A117,Capacity!$D$3:$D$7,0))</f>
        <v>358</v>
      </c>
      <c r="I117">
        <f>INDEX(Capacity!$F$3:$F$7,MATCH(A117,Capacity!$D$3:$D$7,0))</f>
        <v>1537</v>
      </c>
      <c r="J117">
        <f t="shared" si="4"/>
        <v>1788</v>
      </c>
      <c r="K117" s="1">
        <f t="shared" si="5"/>
        <v>46273</v>
      </c>
    </row>
    <row r="118" spans="1:11">
      <c r="A118" t="str">
        <f>'Demand Projection'!B118</f>
        <v>SKU PROD D</v>
      </c>
      <c r="B118" s="1">
        <f>'Demand Projection'!C118</f>
        <v>46271</v>
      </c>
      <c r="C118">
        <f>'Demand Projection'!D118</f>
        <v>477</v>
      </c>
      <c r="D118">
        <f>SUMIFS(Warehouse!$D$2:$D$6,Warehouse!$B$2:$B$6,A118)</f>
        <v>3500</v>
      </c>
      <c r="E118">
        <f>SUMIFS($C$2:C118,$A$2:A118,A118)</f>
        <v>37148</v>
      </c>
      <c r="F118">
        <f>SUMIFS($J$2:J117,$A$2:A117,A118,$K$2:K117,"&lt;="&amp;B118)</f>
        <v>36703</v>
      </c>
      <c r="G118">
        <f t="shared" si="3"/>
        <v>3055</v>
      </c>
      <c r="H118">
        <f>INDEX(Capacity!$E$3:$E$7,MATCH(A118,Capacity!$D$3:$D$7,0))</f>
        <v>430</v>
      </c>
      <c r="I118">
        <f>INDEX(Capacity!$F$3:$F$7,MATCH(A118,Capacity!$D$3:$D$7,0))</f>
        <v>3532</v>
      </c>
      <c r="J118">
        <f t="shared" si="4"/>
        <v>0</v>
      </c>
      <c r="K118" s="1">
        <f t="shared" si="5"/>
        <v>46274</v>
      </c>
    </row>
    <row r="119" spans="1:11">
      <c r="A119" t="str">
        <f>'Demand Projection'!B119</f>
        <v>SKU PROD A</v>
      </c>
      <c r="B119" s="1">
        <f>'Demand Projection'!C119</f>
        <v>46272</v>
      </c>
      <c r="C119">
        <f>'Demand Projection'!D119</f>
        <v>793</v>
      </c>
      <c r="D119">
        <f>SUMIFS(Warehouse!$D$2:$D$6,Warehouse!$B$2:$B$6,A119)</f>
        <v>2200</v>
      </c>
      <c r="E119">
        <f>SUMIFS($C$2:C119,$A$2:A119,A119)</f>
        <v>29547</v>
      </c>
      <c r="F119">
        <f>SUMIFS($J$2:J118,$A$2:A118,A119,$K$2:K118,"&lt;="&amp;B119)</f>
        <v>31749</v>
      </c>
      <c r="G119">
        <f t="shared" si="3"/>
        <v>4402</v>
      </c>
      <c r="H119">
        <f>INDEX(Capacity!$E$3:$E$7,MATCH(A119,Capacity!$D$3:$D$7,0))</f>
        <v>678</v>
      </c>
      <c r="I119">
        <f>INDEX(Capacity!$F$3:$F$7,MATCH(A119,Capacity!$D$3:$D$7,0))</f>
        <v>2632</v>
      </c>
      <c r="J119">
        <f t="shared" si="4"/>
        <v>0</v>
      </c>
      <c r="K119" s="1">
        <f t="shared" si="5"/>
        <v>46275</v>
      </c>
    </row>
    <row r="120" spans="1:11">
      <c r="A120" t="str">
        <f>'Demand Projection'!B120</f>
        <v>SKU PROD C</v>
      </c>
      <c r="B120" s="1">
        <f>'Demand Projection'!C120</f>
        <v>46274</v>
      </c>
      <c r="C120">
        <f>'Demand Projection'!D120</f>
        <v>397</v>
      </c>
      <c r="D120">
        <f>SUMIFS(Warehouse!$D$2:$D$6,Warehouse!$B$2:$B$6,A120)</f>
        <v>1700</v>
      </c>
      <c r="E120">
        <f>SUMIFS($C$2:C120,$A$2:A120,A120)</f>
        <v>18710</v>
      </c>
      <c r="F120">
        <f>SUMIFS($J$2:J119,$A$2:A119,A120,$K$2:K119,"&lt;="&amp;B120)</f>
        <v>18150</v>
      </c>
      <c r="G120">
        <f t="shared" si="3"/>
        <v>1140</v>
      </c>
      <c r="H120">
        <f>INDEX(Capacity!$E$3:$E$7,MATCH(A120,Capacity!$D$3:$D$7,0))</f>
        <v>358</v>
      </c>
      <c r="I120">
        <f>INDEX(Capacity!$F$3:$F$7,MATCH(A120,Capacity!$D$3:$D$7,0))</f>
        <v>1537</v>
      </c>
      <c r="J120">
        <f t="shared" si="4"/>
        <v>0</v>
      </c>
      <c r="K120" s="1">
        <f t="shared" si="5"/>
        <v>46277</v>
      </c>
    </row>
    <row r="121" spans="1:11">
      <c r="A121" t="str">
        <f>'Demand Projection'!B121</f>
        <v>SKU PROD E</v>
      </c>
      <c r="B121" s="1">
        <f>'Demand Projection'!C121</f>
        <v>46277</v>
      </c>
      <c r="C121">
        <f>'Demand Projection'!D121</f>
        <v>263</v>
      </c>
      <c r="D121">
        <f>SUMIFS(Warehouse!$D$2:$D$6,Warehouse!$B$2:$B$6,A121)</f>
        <v>2300</v>
      </c>
      <c r="E121">
        <f>SUMIFS($C$2:C121,$A$2:A121,A121)</f>
        <v>20023</v>
      </c>
      <c r="F121">
        <f>SUMIFS($J$2:J120,$A$2:A120,A121,$K$2:K120,"&lt;="&amp;B121)</f>
        <v>19817</v>
      </c>
      <c r="G121">
        <f t="shared" si="3"/>
        <v>2094</v>
      </c>
      <c r="H121">
        <f>INDEX(Capacity!$E$3:$E$7,MATCH(A121,Capacity!$D$3:$D$7,0))</f>
        <v>250</v>
      </c>
      <c r="I121">
        <f>INDEX(Capacity!$F$3:$F$7,MATCH(A121,Capacity!$D$3:$D$7,0))</f>
        <v>2357</v>
      </c>
      <c r="J121">
        <f t="shared" si="4"/>
        <v>0</v>
      </c>
      <c r="K121" s="1">
        <f t="shared" si="5"/>
        <v>46280</v>
      </c>
    </row>
    <row r="122" spans="1:11">
      <c r="A122" t="str">
        <f>'Demand Projection'!B122</f>
        <v>SKU PROD B</v>
      </c>
      <c r="B122" s="1">
        <f>'Demand Projection'!C122</f>
        <v>46278</v>
      </c>
      <c r="C122">
        <f>'Demand Projection'!D122</f>
        <v>395</v>
      </c>
      <c r="D122">
        <f>SUMIFS(Warehouse!$D$2:$D$6,Warehouse!$B$2:$B$6,A122)</f>
        <v>8000</v>
      </c>
      <c r="E122">
        <f>SUMIFS($C$2:C122,$A$2:A122,A122)</f>
        <v>58494</v>
      </c>
      <c r="F122">
        <f>SUMIFS($J$2:J121,$A$2:A121,A122,$K$2:K121,"&lt;="&amp;B122)</f>
        <v>51921</v>
      </c>
      <c r="G122">
        <f t="shared" si="3"/>
        <v>1427</v>
      </c>
      <c r="H122">
        <f>INDEX(Capacity!$E$3:$E$7,MATCH(A122,Capacity!$D$3:$D$7,0))</f>
        <v>376</v>
      </c>
      <c r="I122">
        <f>INDEX(Capacity!$F$3:$F$7,MATCH(A122,Capacity!$D$3:$D$7,0))</f>
        <v>6570</v>
      </c>
      <c r="J122">
        <f t="shared" si="4"/>
        <v>0</v>
      </c>
      <c r="K122" s="1">
        <f t="shared" si="5"/>
        <v>46281</v>
      </c>
    </row>
    <row r="123" spans="1:11">
      <c r="A123" t="str">
        <f>'Demand Projection'!B123</f>
        <v>SKU PROD D</v>
      </c>
      <c r="B123" s="1">
        <f>'Demand Projection'!C123</f>
        <v>46282</v>
      </c>
      <c r="C123">
        <f>'Demand Projection'!D123</f>
        <v>561</v>
      </c>
      <c r="D123">
        <f>SUMIFS(Warehouse!$D$2:$D$6,Warehouse!$B$2:$B$6,A123)</f>
        <v>3500</v>
      </c>
      <c r="E123">
        <f>SUMIFS($C$2:C123,$A$2:A123,A123)</f>
        <v>37709</v>
      </c>
      <c r="F123">
        <f>SUMIFS($J$2:J122,$A$2:A122,A123,$K$2:K122,"&lt;="&amp;B123)</f>
        <v>36703</v>
      </c>
      <c r="G123">
        <f t="shared" si="3"/>
        <v>2494</v>
      </c>
      <c r="H123">
        <f>INDEX(Capacity!$E$3:$E$7,MATCH(A123,Capacity!$D$3:$D$7,0))</f>
        <v>430</v>
      </c>
      <c r="I123">
        <f>INDEX(Capacity!$F$3:$F$7,MATCH(A123,Capacity!$D$3:$D$7,0))</f>
        <v>3532</v>
      </c>
      <c r="J123">
        <f t="shared" si="4"/>
        <v>0</v>
      </c>
      <c r="K123" s="1">
        <f t="shared" si="5"/>
        <v>46285</v>
      </c>
    </row>
    <row r="124" spans="1:11">
      <c r="A124" t="str">
        <f>'Demand Projection'!B124</f>
        <v>SKU PROD C</v>
      </c>
      <c r="B124" s="1">
        <f>'Demand Projection'!C124</f>
        <v>46285</v>
      </c>
      <c r="C124">
        <f>'Demand Projection'!D124</f>
        <v>516</v>
      </c>
      <c r="D124">
        <f>SUMIFS(Warehouse!$D$2:$D$6,Warehouse!$B$2:$B$6,A124)</f>
        <v>1700</v>
      </c>
      <c r="E124">
        <f>SUMIFS($C$2:C124,$A$2:A124,A124)</f>
        <v>19226</v>
      </c>
      <c r="F124">
        <f>SUMIFS($J$2:J123,$A$2:A123,A124,$K$2:K123,"&lt;="&amp;B124)</f>
        <v>18150</v>
      </c>
      <c r="G124">
        <f t="shared" si="3"/>
        <v>624</v>
      </c>
      <c r="H124">
        <f>INDEX(Capacity!$E$3:$E$7,MATCH(A124,Capacity!$D$3:$D$7,0))</f>
        <v>358</v>
      </c>
      <c r="I124">
        <f>INDEX(Capacity!$F$3:$F$7,MATCH(A124,Capacity!$D$3:$D$7,0))</f>
        <v>1537</v>
      </c>
      <c r="J124">
        <f t="shared" si="4"/>
        <v>0</v>
      </c>
      <c r="K124" s="1">
        <f t="shared" si="5"/>
        <v>46288</v>
      </c>
    </row>
    <row r="125" spans="1:11">
      <c r="A125" t="str">
        <f>'Demand Projection'!B125</f>
        <v>SKU PROD A</v>
      </c>
      <c r="B125" s="1">
        <f>'Demand Projection'!C125</f>
        <v>46289</v>
      </c>
      <c r="C125">
        <f>'Demand Projection'!D125</f>
        <v>713</v>
      </c>
      <c r="D125">
        <f>SUMIFS(Warehouse!$D$2:$D$6,Warehouse!$B$2:$B$6,A125)</f>
        <v>2200</v>
      </c>
      <c r="E125">
        <f>SUMIFS($C$2:C125,$A$2:A125,A125)</f>
        <v>30260</v>
      </c>
      <c r="F125">
        <f>SUMIFS($J$2:J124,$A$2:A124,A125,$K$2:K124,"&lt;="&amp;B125)</f>
        <v>31749</v>
      </c>
      <c r="G125">
        <f t="shared" si="3"/>
        <v>3689</v>
      </c>
      <c r="H125">
        <f>INDEX(Capacity!$E$3:$E$7,MATCH(A125,Capacity!$D$3:$D$7,0))</f>
        <v>678</v>
      </c>
      <c r="I125">
        <f>INDEX(Capacity!$F$3:$F$7,MATCH(A125,Capacity!$D$3:$D$7,0))</f>
        <v>2632</v>
      </c>
      <c r="J125">
        <f t="shared" si="4"/>
        <v>0</v>
      </c>
      <c r="K125" s="1">
        <f t="shared" si="5"/>
        <v>46292</v>
      </c>
    </row>
    <row r="126" spans="1:11">
      <c r="A126" t="str">
        <f>'Demand Projection'!B126</f>
        <v>SKU PROD D</v>
      </c>
      <c r="B126" s="1">
        <f>'Demand Projection'!C126</f>
        <v>46293</v>
      </c>
      <c r="C126">
        <f>'Demand Projection'!D126</f>
        <v>3130</v>
      </c>
      <c r="D126">
        <f>SUMIFS(Warehouse!$D$2:$D$6,Warehouse!$B$2:$B$6,A126)</f>
        <v>3500</v>
      </c>
      <c r="E126">
        <f>SUMIFS($C$2:C126,$A$2:A126,A126)</f>
        <v>40839</v>
      </c>
      <c r="F126">
        <f>SUMIFS($J$2:J125,$A$2:A125,A126,$K$2:K125,"&lt;="&amp;B126)</f>
        <v>36703</v>
      </c>
      <c r="G126">
        <f t="shared" si="3"/>
        <v>-636</v>
      </c>
      <c r="H126">
        <f>INDEX(Capacity!$E$3:$E$7,MATCH(A126,Capacity!$D$3:$D$7,0))</f>
        <v>430</v>
      </c>
      <c r="I126">
        <f>INDEX(Capacity!$F$3:$F$7,MATCH(A126,Capacity!$D$3:$D$7,0))</f>
        <v>3532</v>
      </c>
      <c r="J126">
        <f t="shared" si="4"/>
        <v>4168</v>
      </c>
      <c r="K126" s="1">
        <f t="shared" si="5"/>
        <v>46296</v>
      </c>
    </row>
    <row r="127" spans="1:11">
      <c r="A127" t="str">
        <f>'Demand Projection'!B127</f>
        <v>SKU PROD E</v>
      </c>
      <c r="B127" s="1">
        <f>'Demand Projection'!C127</f>
        <v>46293</v>
      </c>
      <c r="C127">
        <f>'Demand Projection'!D127</f>
        <v>2088</v>
      </c>
      <c r="D127">
        <f>SUMIFS(Warehouse!$D$2:$D$6,Warehouse!$B$2:$B$6,A127)</f>
        <v>2300</v>
      </c>
      <c r="E127">
        <f>SUMIFS($C$2:C127,$A$2:A127,A127)</f>
        <v>22111</v>
      </c>
      <c r="F127">
        <f>SUMIFS($J$2:J126,$A$2:A126,A127,$K$2:K126,"&lt;="&amp;B127)</f>
        <v>19817</v>
      </c>
      <c r="G127">
        <f t="shared" si="3"/>
        <v>6</v>
      </c>
      <c r="H127">
        <f>INDEX(Capacity!$E$3:$E$7,MATCH(A127,Capacity!$D$3:$D$7,0))</f>
        <v>250</v>
      </c>
      <c r="I127">
        <f>INDEX(Capacity!$F$3:$F$7,MATCH(A127,Capacity!$D$3:$D$7,0))</f>
        <v>2357</v>
      </c>
      <c r="J127">
        <f t="shared" si="4"/>
        <v>2351</v>
      </c>
      <c r="K127" s="1">
        <f t="shared" si="5"/>
        <v>46296</v>
      </c>
    </row>
    <row r="128" spans="1:11">
      <c r="A128" t="str">
        <f>'Demand Projection'!B128</f>
        <v>SKU PROD A</v>
      </c>
      <c r="B128" s="1">
        <f>'Demand Projection'!C128</f>
        <v>46298</v>
      </c>
      <c r="C128">
        <f>'Demand Projection'!D128</f>
        <v>714</v>
      </c>
      <c r="D128">
        <f>SUMIFS(Warehouse!$D$2:$D$6,Warehouse!$B$2:$B$6,A128)</f>
        <v>2200</v>
      </c>
      <c r="E128">
        <f>SUMIFS($C$2:C128,$A$2:A128,A128)</f>
        <v>30974</v>
      </c>
      <c r="F128">
        <f>SUMIFS($J$2:J127,$A$2:A127,A128,$K$2:K127,"&lt;="&amp;B128)</f>
        <v>31749</v>
      </c>
      <c r="G128">
        <f t="shared" si="3"/>
        <v>2975</v>
      </c>
      <c r="H128">
        <f>INDEX(Capacity!$E$3:$E$7,MATCH(A128,Capacity!$D$3:$D$7,0))</f>
        <v>678</v>
      </c>
      <c r="I128">
        <f>INDEX(Capacity!$F$3:$F$7,MATCH(A128,Capacity!$D$3:$D$7,0))</f>
        <v>2632</v>
      </c>
      <c r="J128">
        <f t="shared" si="4"/>
        <v>0</v>
      </c>
      <c r="K128" s="1">
        <f t="shared" si="5"/>
        <v>46301</v>
      </c>
    </row>
    <row r="129" spans="1:11">
      <c r="A129" t="str">
        <f>'Demand Projection'!B129</f>
        <v>SKU PROD B</v>
      </c>
      <c r="B129" s="1">
        <f>'Demand Projection'!C129</f>
        <v>46298</v>
      </c>
      <c r="C129">
        <f>'Demand Projection'!D129</f>
        <v>4274</v>
      </c>
      <c r="D129">
        <f>SUMIFS(Warehouse!$D$2:$D$6,Warehouse!$B$2:$B$6,A129)</f>
        <v>8000</v>
      </c>
      <c r="E129">
        <f>SUMIFS($C$2:C129,$A$2:A129,A129)</f>
        <v>62768</v>
      </c>
      <c r="F129">
        <f>SUMIFS($J$2:J128,$A$2:A128,A129,$K$2:K128,"&lt;="&amp;B129)</f>
        <v>51921</v>
      </c>
      <c r="G129">
        <f t="shared" si="3"/>
        <v>-2847</v>
      </c>
      <c r="H129">
        <f>INDEX(Capacity!$E$3:$E$7,MATCH(A129,Capacity!$D$3:$D$7,0))</f>
        <v>376</v>
      </c>
      <c r="I129">
        <f>INDEX(Capacity!$F$3:$F$7,MATCH(A129,Capacity!$D$3:$D$7,0))</f>
        <v>6570</v>
      </c>
      <c r="J129">
        <f t="shared" si="4"/>
        <v>9417</v>
      </c>
      <c r="K129" s="1">
        <f t="shared" si="5"/>
        <v>46301</v>
      </c>
    </row>
    <row r="130" spans="1:11">
      <c r="A130" t="str">
        <f>'Demand Projection'!B130</f>
        <v>SKU PROD A</v>
      </c>
      <c r="B130" s="1">
        <f>'Demand Projection'!C130</f>
        <v>46299</v>
      </c>
      <c r="C130">
        <f>'Demand Projection'!D130</f>
        <v>287</v>
      </c>
      <c r="D130">
        <f>SUMIFS(Warehouse!$D$2:$D$6,Warehouse!$B$2:$B$6,A130)</f>
        <v>2200</v>
      </c>
      <c r="E130">
        <f>SUMIFS($C$2:C130,$A$2:A130,A130)</f>
        <v>31261</v>
      </c>
      <c r="F130">
        <f>SUMIFS($J$2:J129,$A$2:A129,A130,$K$2:K129,"&lt;="&amp;B130)</f>
        <v>31749</v>
      </c>
      <c r="G130">
        <f t="shared" si="3"/>
        <v>2688</v>
      </c>
      <c r="H130">
        <f>INDEX(Capacity!$E$3:$E$7,MATCH(A130,Capacity!$D$3:$D$7,0))</f>
        <v>678</v>
      </c>
      <c r="I130">
        <f>INDEX(Capacity!$F$3:$F$7,MATCH(A130,Capacity!$D$3:$D$7,0))</f>
        <v>2632</v>
      </c>
      <c r="J130">
        <f t="shared" si="4"/>
        <v>0</v>
      </c>
      <c r="K130" s="1">
        <f t="shared" si="5"/>
        <v>46302</v>
      </c>
    </row>
    <row r="131" spans="1:11">
      <c r="A131" t="str">
        <f>'Demand Projection'!B131</f>
        <v>SKU PROD C</v>
      </c>
      <c r="B131" s="1">
        <f>'Demand Projection'!C131</f>
        <v>46300</v>
      </c>
      <c r="C131">
        <f>'Demand Projection'!D131</f>
        <v>643</v>
      </c>
      <c r="D131">
        <f>SUMIFS(Warehouse!$D$2:$D$6,Warehouse!$B$2:$B$6,A131)</f>
        <v>1700</v>
      </c>
      <c r="E131">
        <f>SUMIFS($C$2:C131,$A$2:A131,A131)</f>
        <v>19869</v>
      </c>
      <c r="F131">
        <f>SUMIFS($J$2:J130,$A$2:A130,A131,$K$2:K130,"&lt;="&amp;B131)</f>
        <v>18150</v>
      </c>
      <c r="G131">
        <f t="shared" ref="G131:G169" si="6">D131-E131+F131</f>
        <v>-19</v>
      </c>
      <c r="H131">
        <f>INDEX(Capacity!$E$3:$E$7,MATCH(A131,Capacity!$D$3:$D$7,0))</f>
        <v>358</v>
      </c>
      <c r="I131">
        <f>INDEX(Capacity!$F$3:$F$7,MATCH(A131,Capacity!$D$3:$D$7,0))</f>
        <v>1537</v>
      </c>
      <c r="J131">
        <f t="shared" ref="J131:J169" si="7">IF(G131&lt;H131,I131-G131,0)</f>
        <v>1556</v>
      </c>
      <c r="K131" s="1">
        <f t="shared" ref="K131:K169" si="8">B131+3</f>
        <v>46303</v>
      </c>
    </row>
    <row r="132" spans="1:11">
      <c r="A132" t="str">
        <f>'Demand Projection'!B132</f>
        <v>SKU PROD D</v>
      </c>
      <c r="B132" s="1">
        <f>'Demand Projection'!C132</f>
        <v>46301</v>
      </c>
      <c r="C132">
        <f>'Demand Projection'!D132</f>
        <v>430</v>
      </c>
      <c r="D132">
        <f>SUMIFS(Warehouse!$D$2:$D$6,Warehouse!$B$2:$B$6,A132)</f>
        <v>3500</v>
      </c>
      <c r="E132">
        <f>SUMIFS($C$2:C132,$A$2:A132,A132)</f>
        <v>41269</v>
      </c>
      <c r="F132">
        <f>SUMIFS($J$2:J131,$A$2:A131,A132,$K$2:K131,"&lt;="&amp;B132)</f>
        <v>40871</v>
      </c>
      <c r="G132">
        <f t="shared" si="6"/>
        <v>3102</v>
      </c>
      <c r="H132">
        <f>INDEX(Capacity!$E$3:$E$7,MATCH(A132,Capacity!$D$3:$D$7,0))</f>
        <v>430</v>
      </c>
      <c r="I132">
        <f>INDEX(Capacity!$F$3:$F$7,MATCH(A132,Capacity!$D$3:$D$7,0))</f>
        <v>3532</v>
      </c>
      <c r="J132">
        <f t="shared" si="7"/>
        <v>0</v>
      </c>
      <c r="K132" s="1">
        <f t="shared" si="8"/>
        <v>46304</v>
      </c>
    </row>
    <row r="133" spans="1:11">
      <c r="A133" t="str">
        <f>'Demand Projection'!B133</f>
        <v>SKU PROD A</v>
      </c>
      <c r="B133" s="1">
        <f>'Demand Projection'!C133</f>
        <v>46302</v>
      </c>
      <c r="C133">
        <f>'Demand Projection'!D133</f>
        <v>714</v>
      </c>
      <c r="D133">
        <f>SUMIFS(Warehouse!$D$2:$D$6,Warehouse!$B$2:$B$6,A133)</f>
        <v>2200</v>
      </c>
      <c r="E133">
        <f>SUMIFS($C$2:C133,$A$2:A133,A133)</f>
        <v>31975</v>
      </c>
      <c r="F133">
        <f>SUMIFS($J$2:J132,$A$2:A132,A133,$K$2:K132,"&lt;="&amp;B133)</f>
        <v>31749</v>
      </c>
      <c r="G133">
        <f t="shared" si="6"/>
        <v>1974</v>
      </c>
      <c r="H133">
        <f>INDEX(Capacity!$E$3:$E$7,MATCH(A133,Capacity!$D$3:$D$7,0))</f>
        <v>678</v>
      </c>
      <c r="I133">
        <f>INDEX(Capacity!$F$3:$F$7,MATCH(A133,Capacity!$D$3:$D$7,0))</f>
        <v>2632</v>
      </c>
      <c r="J133">
        <f t="shared" si="7"/>
        <v>0</v>
      </c>
      <c r="K133" s="1">
        <f t="shared" si="8"/>
        <v>46305</v>
      </c>
    </row>
    <row r="134" spans="1:11">
      <c r="A134" t="str">
        <f>'Demand Projection'!B134</f>
        <v>SKU PROD C</v>
      </c>
      <c r="B134" s="1">
        <f>'Demand Projection'!C134</f>
        <v>46304</v>
      </c>
      <c r="C134">
        <f>'Demand Projection'!D134</f>
        <v>358</v>
      </c>
      <c r="D134">
        <f>SUMIFS(Warehouse!$D$2:$D$6,Warehouse!$B$2:$B$6,A134)</f>
        <v>1700</v>
      </c>
      <c r="E134">
        <f>SUMIFS($C$2:C134,$A$2:A134,A134)</f>
        <v>20227</v>
      </c>
      <c r="F134">
        <f>SUMIFS($J$2:J133,$A$2:A133,A134,$K$2:K133,"&lt;="&amp;B134)</f>
        <v>19706</v>
      </c>
      <c r="G134">
        <f t="shared" si="6"/>
        <v>1179</v>
      </c>
      <c r="H134">
        <f>INDEX(Capacity!$E$3:$E$7,MATCH(A134,Capacity!$D$3:$D$7,0))</f>
        <v>358</v>
      </c>
      <c r="I134">
        <f>INDEX(Capacity!$F$3:$F$7,MATCH(A134,Capacity!$D$3:$D$7,0))</f>
        <v>1537</v>
      </c>
      <c r="J134">
        <f t="shared" si="7"/>
        <v>0</v>
      </c>
      <c r="K134" s="1">
        <f t="shared" si="8"/>
        <v>46307</v>
      </c>
    </row>
    <row r="135" spans="1:11">
      <c r="A135" t="str">
        <f>'Demand Projection'!B135</f>
        <v>SKU PROD E</v>
      </c>
      <c r="B135" s="1">
        <f>'Demand Projection'!C135</f>
        <v>46307</v>
      </c>
      <c r="C135">
        <f>'Demand Projection'!D135</f>
        <v>250</v>
      </c>
      <c r="D135">
        <f>SUMIFS(Warehouse!$D$2:$D$6,Warehouse!$B$2:$B$6,A135)</f>
        <v>2300</v>
      </c>
      <c r="E135">
        <f>SUMIFS($C$2:C135,$A$2:A135,A135)</f>
        <v>22361</v>
      </c>
      <c r="F135">
        <f>SUMIFS($J$2:J134,$A$2:A134,A135,$K$2:K134,"&lt;="&amp;B135)</f>
        <v>22168</v>
      </c>
      <c r="G135">
        <f t="shared" si="6"/>
        <v>2107</v>
      </c>
      <c r="H135">
        <f>INDEX(Capacity!$E$3:$E$7,MATCH(A135,Capacity!$D$3:$D$7,0))</f>
        <v>250</v>
      </c>
      <c r="I135">
        <f>INDEX(Capacity!$F$3:$F$7,MATCH(A135,Capacity!$D$3:$D$7,0))</f>
        <v>2357</v>
      </c>
      <c r="J135">
        <f t="shared" si="7"/>
        <v>0</v>
      </c>
      <c r="K135" s="1">
        <f t="shared" si="8"/>
        <v>46310</v>
      </c>
    </row>
    <row r="136" spans="1:11">
      <c r="A136" t="str">
        <f>'Demand Projection'!B136</f>
        <v>SKU PROD B</v>
      </c>
      <c r="B136" s="1">
        <f>'Demand Projection'!C136</f>
        <v>46308</v>
      </c>
      <c r="C136">
        <f>'Demand Projection'!D136</f>
        <v>376</v>
      </c>
      <c r="D136">
        <f>SUMIFS(Warehouse!$D$2:$D$6,Warehouse!$B$2:$B$6,A136)</f>
        <v>8000</v>
      </c>
      <c r="E136">
        <f>SUMIFS($C$2:C136,$A$2:A136,A136)</f>
        <v>63144</v>
      </c>
      <c r="F136">
        <f>SUMIFS($J$2:J135,$A$2:A135,A136,$K$2:K135,"&lt;="&amp;B136)</f>
        <v>61338</v>
      </c>
      <c r="G136">
        <f t="shared" si="6"/>
        <v>6194</v>
      </c>
      <c r="H136">
        <f>INDEX(Capacity!$E$3:$E$7,MATCH(A136,Capacity!$D$3:$D$7,0))</f>
        <v>376</v>
      </c>
      <c r="I136">
        <f>INDEX(Capacity!$F$3:$F$7,MATCH(A136,Capacity!$D$3:$D$7,0))</f>
        <v>6570</v>
      </c>
      <c r="J136">
        <f t="shared" si="7"/>
        <v>0</v>
      </c>
      <c r="K136" s="1">
        <f t="shared" si="8"/>
        <v>46311</v>
      </c>
    </row>
    <row r="137" spans="1:11">
      <c r="A137" t="str">
        <f>'Demand Projection'!B137</f>
        <v>SKU PROD D</v>
      </c>
      <c r="B137" s="1">
        <f>'Demand Projection'!C137</f>
        <v>46312</v>
      </c>
      <c r="C137">
        <f>'Demand Projection'!D137</f>
        <v>533</v>
      </c>
      <c r="D137">
        <f>SUMIFS(Warehouse!$D$2:$D$6,Warehouse!$B$2:$B$6,A137)</f>
        <v>3500</v>
      </c>
      <c r="E137">
        <f>SUMIFS($C$2:C137,$A$2:A137,A137)</f>
        <v>41802</v>
      </c>
      <c r="F137">
        <f>SUMIFS($J$2:J136,$A$2:A136,A137,$K$2:K136,"&lt;="&amp;B137)</f>
        <v>40871</v>
      </c>
      <c r="G137">
        <f t="shared" si="6"/>
        <v>2569</v>
      </c>
      <c r="H137">
        <f>INDEX(Capacity!$E$3:$E$7,MATCH(A137,Capacity!$D$3:$D$7,0))</f>
        <v>430</v>
      </c>
      <c r="I137">
        <f>INDEX(Capacity!$F$3:$F$7,MATCH(A137,Capacity!$D$3:$D$7,0))</f>
        <v>3532</v>
      </c>
      <c r="J137">
        <f t="shared" si="7"/>
        <v>0</v>
      </c>
      <c r="K137" s="1">
        <f t="shared" si="8"/>
        <v>46315</v>
      </c>
    </row>
    <row r="138" spans="1:11">
      <c r="A138" t="str">
        <f>'Demand Projection'!B138</f>
        <v>SKU PROD C</v>
      </c>
      <c r="B138" s="1">
        <f>'Demand Projection'!C138</f>
        <v>46315</v>
      </c>
      <c r="C138">
        <f>'Demand Projection'!D138</f>
        <v>491</v>
      </c>
      <c r="D138">
        <f>SUMIFS(Warehouse!$D$2:$D$6,Warehouse!$B$2:$B$6,A138)</f>
        <v>1700</v>
      </c>
      <c r="E138">
        <f>SUMIFS($C$2:C138,$A$2:A138,A138)</f>
        <v>20718</v>
      </c>
      <c r="F138">
        <f>SUMIFS($J$2:J137,$A$2:A137,A138,$K$2:K137,"&lt;="&amp;B138)</f>
        <v>19706</v>
      </c>
      <c r="G138">
        <f t="shared" si="6"/>
        <v>688</v>
      </c>
      <c r="H138">
        <f>INDEX(Capacity!$E$3:$E$7,MATCH(A138,Capacity!$D$3:$D$7,0))</f>
        <v>358</v>
      </c>
      <c r="I138">
        <f>INDEX(Capacity!$F$3:$F$7,MATCH(A138,Capacity!$D$3:$D$7,0))</f>
        <v>1537</v>
      </c>
      <c r="J138">
        <f t="shared" si="7"/>
        <v>0</v>
      </c>
      <c r="K138" s="1">
        <f t="shared" si="8"/>
        <v>46318</v>
      </c>
    </row>
    <row r="139" spans="1:11">
      <c r="A139" t="str">
        <f>'Demand Projection'!B139</f>
        <v>SKU PROD A</v>
      </c>
      <c r="B139" s="1">
        <f>'Demand Projection'!C139</f>
        <v>46319</v>
      </c>
      <c r="C139">
        <f>'Demand Projection'!D139</f>
        <v>678</v>
      </c>
      <c r="D139">
        <f>SUMIFS(Warehouse!$D$2:$D$6,Warehouse!$B$2:$B$6,A139)</f>
        <v>2200</v>
      </c>
      <c r="E139">
        <f>SUMIFS($C$2:C139,$A$2:A139,A139)</f>
        <v>32653</v>
      </c>
      <c r="F139">
        <f>SUMIFS($J$2:J138,$A$2:A138,A139,$K$2:K138,"&lt;="&amp;B139)</f>
        <v>31749</v>
      </c>
      <c r="G139">
        <f t="shared" si="6"/>
        <v>1296</v>
      </c>
      <c r="H139">
        <f>INDEX(Capacity!$E$3:$E$7,MATCH(A139,Capacity!$D$3:$D$7,0))</f>
        <v>678</v>
      </c>
      <c r="I139">
        <f>INDEX(Capacity!$F$3:$F$7,MATCH(A139,Capacity!$D$3:$D$7,0))</f>
        <v>2632</v>
      </c>
      <c r="J139">
        <f t="shared" si="7"/>
        <v>0</v>
      </c>
      <c r="K139" s="1">
        <f t="shared" si="8"/>
        <v>46322</v>
      </c>
    </row>
    <row r="140" spans="1:11">
      <c r="A140" t="str">
        <f>'Demand Projection'!B140</f>
        <v>SKU PROD D</v>
      </c>
      <c r="B140" s="1">
        <f>'Demand Projection'!C140</f>
        <v>46323</v>
      </c>
      <c r="C140">
        <f>'Demand Projection'!D140</f>
        <v>2974</v>
      </c>
      <c r="D140">
        <f>SUMIFS(Warehouse!$D$2:$D$6,Warehouse!$B$2:$B$6,A140)</f>
        <v>3500</v>
      </c>
      <c r="E140">
        <f>SUMIFS($C$2:C140,$A$2:A140,A140)</f>
        <v>44776</v>
      </c>
      <c r="F140">
        <f>SUMIFS($J$2:J139,$A$2:A139,A140,$K$2:K139,"&lt;="&amp;B140)</f>
        <v>40871</v>
      </c>
      <c r="G140">
        <f t="shared" si="6"/>
        <v>-405</v>
      </c>
      <c r="H140">
        <f>INDEX(Capacity!$E$3:$E$7,MATCH(A140,Capacity!$D$3:$D$7,0))</f>
        <v>430</v>
      </c>
      <c r="I140">
        <f>INDEX(Capacity!$F$3:$F$7,MATCH(A140,Capacity!$D$3:$D$7,0))</f>
        <v>3532</v>
      </c>
      <c r="J140">
        <f t="shared" si="7"/>
        <v>3937</v>
      </c>
      <c r="K140" s="1">
        <f t="shared" si="8"/>
        <v>46326</v>
      </c>
    </row>
    <row r="141" spans="1:11">
      <c r="A141" t="str">
        <f>'Demand Projection'!B141</f>
        <v>SKU PROD E</v>
      </c>
      <c r="B141" s="1">
        <f>'Demand Projection'!C141</f>
        <v>46323</v>
      </c>
      <c r="C141">
        <f>'Demand Projection'!D141</f>
        <v>1984</v>
      </c>
      <c r="D141">
        <f>SUMIFS(Warehouse!$D$2:$D$6,Warehouse!$B$2:$B$6,A141)</f>
        <v>2300</v>
      </c>
      <c r="E141">
        <f>SUMIFS($C$2:C141,$A$2:A141,A141)</f>
        <v>24345</v>
      </c>
      <c r="F141">
        <f>SUMIFS($J$2:J140,$A$2:A140,A141,$K$2:K140,"&lt;="&amp;B141)</f>
        <v>22168</v>
      </c>
      <c r="G141">
        <f t="shared" si="6"/>
        <v>123</v>
      </c>
      <c r="H141">
        <f>INDEX(Capacity!$E$3:$E$7,MATCH(A141,Capacity!$D$3:$D$7,0))</f>
        <v>250</v>
      </c>
      <c r="I141">
        <f>INDEX(Capacity!$F$3:$F$7,MATCH(A141,Capacity!$D$3:$D$7,0))</f>
        <v>2357</v>
      </c>
      <c r="J141">
        <f t="shared" si="7"/>
        <v>2234</v>
      </c>
      <c r="K141" s="1">
        <f t="shared" si="8"/>
        <v>46326</v>
      </c>
    </row>
    <row r="142" spans="1:11">
      <c r="A142" t="str">
        <f>'Demand Projection'!B142</f>
        <v>SKU PROD A</v>
      </c>
      <c r="B142" s="1">
        <f>'Demand Projection'!C142</f>
        <v>46329</v>
      </c>
      <c r="C142">
        <f>'Demand Projection'!D142</f>
        <v>800</v>
      </c>
      <c r="D142">
        <f>SUMIFS(Warehouse!$D$2:$D$6,Warehouse!$B$2:$B$6,A142)</f>
        <v>2200</v>
      </c>
      <c r="E142">
        <f>SUMIFS($C$2:C142,$A$2:A142,A142)</f>
        <v>33453</v>
      </c>
      <c r="F142">
        <f>SUMIFS($J$2:J141,$A$2:A141,A142,$K$2:K141,"&lt;="&amp;B142)</f>
        <v>31749</v>
      </c>
      <c r="G142">
        <f t="shared" si="6"/>
        <v>496</v>
      </c>
      <c r="H142">
        <f>INDEX(Capacity!$E$3:$E$7,MATCH(A142,Capacity!$D$3:$D$7,0))</f>
        <v>678</v>
      </c>
      <c r="I142">
        <f>INDEX(Capacity!$F$3:$F$7,MATCH(A142,Capacity!$D$3:$D$7,0))</f>
        <v>2632</v>
      </c>
      <c r="J142">
        <f t="shared" si="7"/>
        <v>2136</v>
      </c>
      <c r="K142" s="1">
        <f t="shared" si="8"/>
        <v>46332</v>
      </c>
    </row>
    <row r="143" spans="1:11">
      <c r="A143" t="str">
        <f>'Demand Projection'!B143</f>
        <v>SKU PROD B</v>
      </c>
      <c r="B143" s="1">
        <f>'Demand Projection'!C143</f>
        <v>46329</v>
      </c>
      <c r="C143">
        <f>'Demand Projection'!D143</f>
        <v>4787</v>
      </c>
      <c r="D143">
        <f>SUMIFS(Warehouse!$D$2:$D$6,Warehouse!$B$2:$B$6,A143)</f>
        <v>8000</v>
      </c>
      <c r="E143">
        <f>SUMIFS($C$2:C143,$A$2:A143,A143)</f>
        <v>67931</v>
      </c>
      <c r="F143">
        <f>SUMIFS($J$2:J142,$A$2:A142,A143,$K$2:K142,"&lt;="&amp;B143)</f>
        <v>61338</v>
      </c>
      <c r="G143">
        <f t="shared" si="6"/>
        <v>1407</v>
      </c>
      <c r="H143">
        <f>INDEX(Capacity!$E$3:$E$7,MATCH(A143,Capacity!$D$3:$D$7,0))</f>
        <v>376</v>
      </c>
      <c r="I143">
        <f>INDEX(Capacity!$F$3:$F$7,MATCH(A143,Capacity!$D$3:$D$7,0))</f>
        <v>6570</v>
      </c>
      <c r="J143">
        <f t="shared" si="7"/>
        <v>0</v>
      </c>
      <c r="K143" s="1">
        <f t="shared" si="8"/>
        <v>46332</v>
      </c>
    </row>
    <row r="144" spans="1:11">
      <c r="A144" t="str">
        <f>'Demand Projection'!B144</f>
        <v>SKU PROD A</v>
      </c>
      <c r="B144" s="1">
        <f>'Demand Projection'!C144</f>
        <v>46330</v>
      </c>
      <c r="C144">
        <f>'Demand Projection'!D144</f>
        <v>322</v>
      </c>
      <c r="D144">
        <f>SUMIFS(Warehouse!$D$2:$D$6,Warehouse!$B$2:$B$6,A144)</f>
        <v>2200</v>
      </c>
      <c r="E144">
        <f>SUMIFS($C$2:C144,$A$2:A144,A144)</f>
        <v>33775</v>
      </c>
      <c r="F144">
        <f>SUMIFS($J$2:J143,$A$2:A143,A144,$K$2:K143,"&lt;="&amp;B144)</f>
        <v>31749</v>
      </c>
      <c r="G144">
        <f t="shared" si="6"/>
        <v>174</v>
      </c>
      <c r="H144">
        <f>INDEX(Capacity!$E$3:$E$7,MATCH(A144,Capacity!$D$3:$D$7,0))</f>
        <v>678</v>
      </c>
      <c r="I144">
        <f>INDEX(Capacity!$F$3:$F$7,MATCH(A144,Capacity!$D$3:$D$7,0))</f>
        <v>2632</v>
      </c>
      <c r="J144">
        <f t="shared" si="7"/>
        <v>2458</v>
      </c>
      <c r="K144" s="1">
        <f t="shared" si="8"/>
        <v>46333</v>
      </c>
    </row>
    <row r="145" spans="1:11">
      <c r="A145" t="str">
        <f>'Demand Projection'!B145</f>
        <v>SKU PROD C</v>
      </c>
      <c r="B145" s="1">
        <f>'Demand Projection'!C145</f>
        <v>46331</v>
      </c>
      <c r="C145">
        <f>'Demand Projection'!D145</f>
        <v>721</v>
      </c>
      <c r="D145">
        <f>SUMIFS(Warehouse!$D$2:$D$6,Warehouse!$B$2:$B$6,A145)</f>
        <v>1700</v>
      </c>
      <c r="E145">
        <f>SUMIFS($C$2:C145,$A$2:A145,A145)</f>
        <v>21439</v>
      </c>
      <c r="F145">
        <f>SUMIFS($J$2:J144,$A$2:A144,A145,$K$2:K144,"&lt;="&amp;B145)</f>
        <v>19706</v>
      </c>
      <c r="G145">
        <f t="shared" si="6"/>
        <v>-33</v>
      </c>
      <c r="H145">
        <f>INDEX(Capacity!$E$3:$E$7,MATCH(A145,Capacity!$D$3:$D$7,0))</f>
        <v>358</v>
      </c>
      <c r="I145">
        <f>INDEX(Capacity!$F$3:$F$7,MATCH(A145,Capacity!$D$3:$D$7,0))</f>
        <v>1537</v>
      </c>
      <c r="J145">
        <f t="shared" si="7"/>
        <v>1570</v>
      </c>
      <c r="K145" s="1">
        <f t="shared" si="8"/>
        <v>46334</v>
      </c>
    </row>
    <row r="146" spans="1:11">
      <c r="A146" t="str">
        <f>'Demand Projection'!B146</f>
        <v>SKU PROD D</v>
      </c>
      <c r="B146" s="1">
        <f>'Demand Projection'!C146</f>
        <v>46332</v>
      </c>
      <c r="C146">
        <f>'Demand Projection'!D146</f>
        <v>482</v>
      </c>
      <c r="D146">
        <f>SUMIFS(Warehouse!$D$2:$D$6,Warehouse!$B$2:$B$6,A146)</f>
        <v>3500</v>
      </c>
      <c r="E146">
        <f>SUMIFS($C$2:C146,$A$2:A146,A146)</f>
        <v>45258</v>
      </c>
      <c r="F146">
        <f>SUMIFS($J$2:J145,$A$2:A145,A146,$K$2:K145,"&lt;="&amp;B146)</f>
        <v>44808</v>
      </c>
      <c r="G146">
        <f t="shared" si="6"/>
        <v>3050</v>
      </c>
      <c r="H146">
        <f>INDEX(Capacity!$E$3:$E$7,MATCH(A146,Capacity!$D$3:$D$7,0))</f>
        <v>430</v>
      </c>
      <c r="I146">
        <f>INDEX(Capacity!$F$3:$F$7,MATCH(A146,Capacity!$D$3:$D$7,0))</f>
        <v>3532</v>
      </c>
      <c r="J146">
        <f t="shared" si="7"/>
        <v>0</v>
      </c>
      <c r="K146" s="1">
        <f t="shared" si="8"/>
        <v>46335</v>
      </c>
    </row>
    <row r="147" spans="1:11">
      <c r="A147" t="str">
        <f>'Demand Projection'!B147</f>
        <v>SKU PROD A</v>
      </c>
      <c r="B147" s="1">
        <f>'Demand Projection'!C147</f>
        <v>46333</v>
      </c>
      <c r="C147">
        <f>'Demand Projection'!D147</f>
        <v>800</v>
      </c>
      <c r="D147">
        <f>SUMIFS(Warehouse!$D$2:$D$6,Warehouse!$B$2:$B$6,A147)</f>
        <v>2200</v>
      </c>
      <c r="E147">
        <f>SUMIFS($C$2:C147,$A$2:A147,A147)</f>
        <v>34575</v>
      </c>
      <c r="F147">
        <f>SUMIFS($J$2:J146,$A$2:A146,A147,$K$2:K146,"&lt;="&amp;B147)</f>
        <v>36343</v>
      </c>
      <c r="G147">
        <f t="shared" si="6"/>
        <v>3968</v>
      </c>
      <c r="H147">
        <f>INDEX(Capacity!$E$3:$E$7,MATCH(A147,Capacity!$D$3:$D$7,0))</f>
        <v>678</v>
      </c>
      <c r="I147">
        <f>INDEX(Capacity!$F$3:$F$7,MATCH(A147,Capacity!$D$3:$D$7,0))</f>
        <v>2632</v>
      </c>
      <c r="J147">
        <f t="shared" si="7"/>
        <v>0</v>
      </c>
      <c r="K147" s="1">
        <f t="shared" si="8"/>
        <v>46336</v>
      </c>
    </row>
    <row r="148" spans="1:11">
      <c r="A148" t="str">
        <f>'Demand Projection'!B148</f>
        <v>SKU PROD C</v>
      </c>
      <c r="B148" s="1">
        <f>'Demand Projection'!C148</f>
        <v>46335</v>
      </c>
      <c r="C148">
        <f>'Demand Projection'!D148</f>
        <v>401</v>
      </c>
      <c r="D148">
        <f>SUMIFS(Warehouse!$D$2:$D$6,Warehouse!$B$2:$B$6,A148)</f>
        <v>1700</v>
      </c>
      <c r="E148">
        <f>SUMIFS($C$2:C148,$A$2:A148,A148)</f>
        <v>21840</v>
      </c>
      <c r="F148">
        <f>SUMIFS($J$2:J147,$A$2:A147,A148,$K$2:K147,"&lt;="&amp;B148)</f>
        <v>21276</v>
      </c>
      <c r="G148">
        <f t="shared" si="6"/>
        <v>1136</v>
      </c>
      <c r="H148">
        <f>INDEX(Capacity!$E$3:$E$7,MATCH(A148,Capacity!$D$3:$D$7,0))</f>
        <v>358</v>
      </c>
      <c r="I148">
        <f>INDEX(Capacity!$F$3:$F$7,MATCH(A148,Capacity!$D$3:$D$7,0))</f>
        <v>1537</v>
      </c>
      <c r="J148">
        <f t="shared" si="7"/>
        <v>0</v>
      </c>
      <c r="K148" s="1">
        <f t="shared" si="8"/>
        <v>46338</v>
      </c>
    </row>
    <row r="149" spans="1:11">
      <c r="A149" t="str">
        <f>'Demand Projection'!B149</f>
        <v>SKU PROD E</v>
      </c>
      <c r="B149" s="1">
        <f>'Demand Projection'!C149</f>
        <v>46338</v>
      </c>
      <c r="C149">
        <f>'Demand Projection'!D149</f>
        <v>280</v>
      </c>
      <c r="D149">
        <f>SUMIFS(Warehouse!$D$2:$D$6,Warehouse!$B$2:$B$6,A149)</f>
        <v>2300</v>
      </c>
      <c r="E149">
        <f>SUMIFS($C$2:C149,$A$2:A149,A149)</f>
        <v>24625</v>
      </c>
      <c r="F149">
        <f>SUMIFS($J$2:J148,$A$2:A148,A149,$K$2:K148,"&lt;="&amp;B149)</f>
        <v>24402</v>
      </c>
      <c r="G149">
        <f t="shared" si="6"/>
        <v>2077</v>
      </c>
      <c r="H149">
        <f>INDEX(Capacity!$E$3:$E$7,MATCH(A149,Capacity!$D$3:$D$7,0))</f>
        <v>250</v>
      </c>
      <c r="I149">
        <f>INDEX(Capacity!$F$3:$F$7,MATCH(A149,Capacity!$D$3:$D$7,0))</f>
        <v>2357</v>
      </c>
      <c r="J149">
        <f t="shared" si="7"/>
        <v>0</v>
      </c>
      <c r="K149" s="1">
        <f t="shared" si="8"/>
        <v>46341</v>
      </c>
    </row>
    <row r="150" spans="1:11">
      <c r="A150" t="str">
        <f>'Demand Projection'!B150</f>
        <v>SKU PROD B</v>
      </c>
      <c r="B150" s="1">
        <f>'Demand Projection'!C150</f>
        <v>46339</v>
      </c>
      <c r="C150">
        <f>'Demand Projection'!D150</f>
        <v>399</v>
      </c>
      <c r="D150">
        <f>SUMIFS(Warehouse!$D$2:$D$6,Warehouse!$B$2:$B$6,A150)</f>
        <v>8000</v>
      </c>
      <c r="E150">
        <f>SUMIFS($C$2:C150,$A$2:A150,A150)</f>
        <v>68330</v>
      </c>
      <c r="F150">
        <f>SUMIFS($J$2:J149,$A$2:A149,A150,$K$2:K149,"&lt;="&amp;B150)</f>
        <v>61338</v>
      </c>
      <c r="G150">
        <f t="shared" si="6"/>
        <v>1008</v>
      </c>
      <c r="H150">
        <f>INDEX(Capacity!$E$3:$E$7,MATCH(A150,Capacity!$D$3:$D$7,0))</f>
        <v>376</v>
      </c>
      <c r="I150">
        <f>INDEX(Capacity!$F$3:$F$7,MATCH(A150,Capacity!$D$3:$D$7,0))</f>
        <v>6570</v>
      </c>
      <c r="J150">
        <f t="shared" si="7"/>
        <v>0</v>
      </c>
      <c r="K150" s="1">
        <f t="shared" si="8"/>
        <v>46342</v>
      </c>
    </row>
    <row r="151" spans="1:11">
      <c r="A151" t="str">
        <f>'Demand Projection'!B151</f>
        <v>SKU PROD D</v>
      </c>
      <c r="B151" s="1">
        <f>'Demand Projection'!C151</f>
        <v>46343</v>
      </c>
      <c r="C151">
        <f>'Demand Projection'!D151</f>
        <v>565</v>
      </c>
      <c r="D151">
        <f>SUMIFS(Warehouse!$D$2:$D$6,Warehouse!$B$2:$B$6,A151)</f>
        <v>3500</v>
      </c>
      <c r="E151">
        <f>SUMIFS($C$2:C151,$A$2:A151,A151)</f>
        <v>45823</v>
      </c>
      <c r="F151">
        <f>SUMIFS($J$2:J150,$A$2:A150,A151,$K$2:K150,"&lt;="&amp;B151)</f>
        <v>44808</v>
      </c>
      <c r="G151">
        <f t="shared" si="6"/>
        <v>2485</v>
      </c>
      <c r="H151">
        <f>INDEX(Capacity!$E$3:$E$7,MATCH(A151,Capacity!$D$3:$D$7,0))</f>
        <v>430</v>
      </c>
      <c r="I151">
        <f>INDEX(Capacity!$F$3:$F$7,MATCH(A151,Capacity!$D$3:$D$7,0))</f>
        <v>3532</v>
      </c>
      <c r="J151">
        <f t="shared" si="7"/>
        <v>0</v>
      </c>
      <c r="K151" s="1">
        <f t="shared" si="8"/>
        <v>46346</v>
      </c>
    </row>
    <row r="152" spans="1:11">
      <c r="A152" t="str">
        <f>'Demand Projection'!B152</f>
        <v>SKU PROD C</v>
      </c>
      <c r="B152" s="1">
        <f>'Demand Projection'!C152</f>
        <v>46346</v>
      </c>
      <c r="C152">
        <f>'Demand Projection'!D152</f>
        <v>521</v>
      </c>
      <c r="D152">
        <f>SUMIFS(Warehouse!$D$2:$D$6,Warehouse!$B$2:$B$6,A152)</f>
        <v>1700</v>
      </c>
      <c r="E152">
        <f>SUMIFS($C$2:C152,$A$2:A152,A152)</f>
        <v>22361</v>
      </c>
      <c r="F152">
        <f>SUMIFS($J$2:J151,$A$2:A151,A152,$K$2:K151,"&lt;="&amp;B152)</f>
        <v>21276</v>
      </c>
      <c r="G152">
        <f t="shared" si="6"/>
        <v>615</v>
      </c>
      <c r="H152">
        <f>INDEX(Capacity!$E$3:$E$7,MATCH(A152,Capacity!$D$3:$D$7,0))</f>
        <v>358</v>
      </c>
      <c r="I152">
        <f>INDEX(Capacity!$F$3:$F$7,MATCH(A152,Capacity!$D$3:$D$7,0))</f>
        <v>1537</v>
      </c>
      <c r="J152">
        <f t="shared" si="7"/>
        <v>0</v>
      </c>
      <c r="K152" s="1">
        <f t="shared" si="8"/>
        <v>46349</v>
      </c>
    </row>
    <row r="153" spans="1:11">
      <c r="A153" t="str">
        <f>'Demand Projection'!B153</f>
        <v>SKU PROD A</v>
      </c>
      <c r="B153" s="1">
        <f>'Demand Projection'!C153</f>
        <v>46350</v>
      </c>
      <c r="C153">
        <f>'Demand Projection'!D153</f>
        <v>719</v>
      </c>
      <c r="D153">
        <f>SUMIFS(Warehouse!$D$2:$D$6,Warehouse!$B$2:$B$6,A153)</f>
        <v>2200</v>
      </c>
      <c r="E153">
        <f>SUMIFS($C$2:C153,$A$2:A153,A153)</f>
        <v>35294</v>
      </c>
      <c r="F153">
        <f>SUMIFS($J$2:J152,$A$2:A152,A153,$K$2:K152,"&lt;="&amp;B153)</f>
        <v>36343</v>
      </c>
      <c r="G153">
        <f t="shared" si="6"/>
        <v>3249</v>
      </c>
      <c r="H153">
        <f>INDEX(Capacity!$E$3:$E$7,MATCH(A153,Capacity!$D$3:$D$7,0))</f>
        <v>678</v>
      </c>
      <c r="I153">
        <f>INDEX(Capacity!$F$3:$F$7,MATCH(A153,Capacity!$D$3:$D$7,0))</f>
        <v>2632</v>
      </c>
      <c r="J153">
        <f t="shared" si="7"/>
        <v>0</v>
      </c>
      <c r="K153" s="1">
        <f t="shared" si="8"/>
        <v>46353</v>
      </c>
    </row>
    <row r="154" spans="1:11">
      <c r="A154" t="str">
        <f>'Demand Projection'!B154</f>
        <v>SKU PROD D</v>
      </c>
      <c r="B154" s="1">
        <f>'Demand Projection'!C154</f>
        <v>46354</v>
      </c>
      <c r="C154">
        <f>'Demand Projection'!D154</f>
        <v>3153</v>
      </c>
      <c r="D154">
        <f>SUMIFS(Warehouse!$D$2:$D$6,Warehouse!$B$2:$B$6,A154)</f>
        <v>3500</v>
      </c>
      <c r="E154">
        <f>SUMIFS($C$2:C154,$A$2:A154,A154)</f>
        <v>48976</v>
      </c>
      <c r="F154">
        <f>SUMIFS($J$2:J153,$A$2:A153,A154,$K$2:K153,"&lt;="&amp;B154)</f>
        <v>44808</v>
      </c>
      <c r="G154">
        <f t="shared" si="6"/>
        <v>-668</v>
      </c>
      <c r="H154">
        <f>INDEX(Capacity!$E$3:$E$7,MATCH(A154,Capacity!$D$3:$D$7,0))</f>
        <v>430</v>
      </c>
      <c r="I154">
        <f>INDEX(Capacity!$F$3:$F$7,MATCH(A154,Capacity!$D$3:$D$7,0))</f>
        <v>3532</v>
      </c>
      <c r="J154">
        <f t="shared" si="7"/>
        <v>4200</v>
      </c>
      <c r="K154" s="1">
        <f t="shared" si="8"/>
        <v>46357</v>
      </c>
    </row>
    <row r="155" spans="1:11">
      <c r="A155" t="str">
        <f>'Demand Projection'!B155</f>
        <v>SKU PROD E</v>
      </c>
      <c r="B155" s="1">
        <f>'Demand Projection'!C155</f>
        <v>46354</v>
      </c>
      <c r="C155">
        <f>'Demand Projection'!D155</f>
        <v>2104</v>
      </c>
      <c r="D155">
        <f>SUMIFS(Warehouse!$D$2:$D$6,Warehouse!$B$2:$B$6,A155)</f>
        <v>2300</v>
      </c>
      <c r="E155">
        <f>SUMIFS($C$2:C155,$A$2:A155,A155)</f>
        <v>26729</v>
      </c>
      <c r="F155">
        <f>SUMIFS($J$2:J154,$A$2:A154,A155,$K$2:K154,"&lt;="&amp;B155)</f>
        <v>24402</v>
      </c>
      <c r="G155">
        <f t="shared" si="6"/>
        <v>-27</v>
      </c>
      <c r="H155">
        <f>INDEX(Capacity!$E$3:$E$7,MATCH(A155,Capacity!$D$3:$D$7,0))</f>
        <v>250</v>
      </c>
      <c r="I155">
        <f>INDEX(Capacity!$F$3:$F$7,MATCH(A155,Capacity!$D$3:$D$7,0))</f>
        <v>2357</v>
      </c>
      <c r="J155">
        <f t="shared" si="7"/>
        <v>2384</v>
      </c>
      <c r="K155" s="1">
        <f t="shared" si="8"/>
        <v>46357</v>
      </c>
    </row>
    <row r="156" spans="1:11">
      <c r="A156" t="str">
        <f>'Demand Projection'!B156</f>
        <v>SKU PROD A</v>
      </c>
      <c r="B156" s="1">
        <f>'Demand Projection'!C156</f>
        <v>46359</v>
      </c>
      <c r="C156">
        <f>'Demand Projection'!D156</f>
        <v>848</v>
      </c>
      <c r="D156">
        <f>SUMIFS(Warehouse!$D$2:$D$6,Warehouse!$B$2:$B$6,A156)</f>
        <v>2200</v>
      </c>
      <c r="E156">
        <f>SUMIFS($C$2:C156,$A$2:A156,A156)</f>
        <v>36142</v>
      </c>
      <c r="F156">
        <f>SUMIFS($J$2:J155,$A$2:A155,A156,$K$2:K155,"&lt;="&amp;B156)</f>
        <v>36343</v>
      </c>
      <c r="G156">
        <f t="shared" si="6"/>
        <v>2401</v>
      </c>
      <c r="H156">
        <f>INDEX(Capacity!$E$3:$E$7,MATCH(A156,Capacity!$D$3:$D$7,0))</f>
        <v>678</v>
      </c>
      <c r="I156">
        <f>INDEX(Capacity!$F$3:$F$7,MATCH(A156,Capacity!$D$3:$D$7,0))</f>
        <v>2632</v>
      </c>
      <c r="J156">
        <f t="shared" si="7"/>
        <v>0</v>
      </c>
      <c r="K156" s="1">
        <f t="shared" si="8"/>
        <v>46362</v>
      </c>
    </row>
    <row r="157" spans="1:11">
      <c r="A157" t="str">
        <f>'Demand Projection'!B157</f>
        <v>SKU PROD B</v>
      </c>
      <c r="B157" s="1">
        <f>'Demand Projection'!C157</f>
        <v>46359</v>
      </c>
      <c r="C157">
        <f>'Demand Projection'!D157</f>
        <v>5075</v>
      </c>
      <c r="D157">
        <f>SUMIFS(Warehouse!$D$2:$D$6,Warehouse!$B$2:$B$6,A157)</f>
        <v>8000</v>
      </c>
      <c r="E157">
        <f>SUMIFS($C$2:C157,$A$2:A157,A157)</f>
        <v>73405</v>
      </c>
      <c r="F157">
        <f>SUMIFS($J$2:J156,$A$2:A156,A157,$K$2:K156,"&lt;="&amp;B157)</f>
        <v>61338</v>
      </c>
      <c r="G157">
        <f t="shared" si="6"/>
        <v>-4067</v>
      </c>
      <c r="H157">
        <f>INDEX(Capacity!$E$3:$E$7,MATCH(A157,Capacity!$D$3:$D$7,0))</f>
        <v>376</v>
      </c>
      <c r="I157">
        <f>INDEX(Capacity!$F$3:$F$7,MATCH(A157,Capacity!$D$3:$D$7,0))</f>
        <v>6570</v>
      </c>
      <c r="J157">
        <f t="shared" si="7"/>
        <v>10637</v>
      </c>
      <c r="K157" s="1">
        <f t="shared" si="8"/>
        <v>46362</v>
      </c>
    </row>
    <row r="158" spans="1:11">
      <c r="A158" t="str">
        <f>'Demand Projection'!B158</f>
        <v>SKU PROD A</v>
      </c>
      <c r="B158" s="1">
        <f>'Demand Projection'!C158</f>
        <v>46360</v>
      </c>
      <c r="C158">
        <f>'Demand Projection'!D158</f>
        <v>342</v>
      </c>
      <c r="D158">
        <f>SUMIFS(Warehouse!$D$2:$D$6,Warehouse!$B$2:$B$6,A158)</f>
        <v>2200</v>
      </c>
      <c r="E158">
        <f>SUMIFS($C$2:C158,$A$2:A158,A158)</f>
        <v>36484</v>
      </c>
      <c r="F158">
        <f>SUMIFS($J$2:J157,$A$2:A157,A158,$K$2:K157,"&lt;="&amp;B158)</f>
        <v>36343</v>
      </c>
      <c r="G158">
        <f t="shared" si="6"/>
        <v>2059</v>
      </c>
      <c r="H158">
        <f>INDEX(Capacity!$E$3:$E$7,MATCH(A158,Capacity!$D$3:$D$7,0))</f>
        <v>678</v>
      </c>
      <c r="I158">
        <f>INDEX(Capacity!$F$3:$F$7,MATCH(A158,Capacity!$D$3:$D$7,0))</f>
        <v>2632</v>
      </c>
      <c r="J158">
        <f t="shared" si="7"/>
        <v>0</v>
      </c>
      <c r="K158" s="1">
        <f t="shared" si="8"/>
        <v>46363</v>
      </c>
    </row>
    <row r="159" spans="1:11">
      <c r="A159" t="str">
        <f>'Demand Projection'!B159</f>
        <v>SKU PROD C</v>
      </c>
      <c r="B159" s="1">
        <f>'Demand Projection'!C159</f>
        <v>46361</v>
      </c>
      <c r="C159">
        <f>'Demand Projection'!D159</f>
        <v>765</v>
      </c>
      <c r="D159">
        <f>SUMIFS(Warehouse!$D$2:$D$6,Warehouse!$B$2:$B$6,A159)</f>
        <v>1700</v>
      </c>
      <c r="E159">
        <f>SUMIFS($C$2:C159,$A$2:A159,A159)</f>
        <v>23126</v>
      </c>
      <c r="F159">
        <f>SUMIFS($J$2:J158,$A$2:A158,A159,$K$2:K158,"&lt;="&amp;B159)</f>
        <v>21276</v>
      </c>
      <c r="G159">
        <f t="shared" si="6"/>
        <v>-150</v>
      </c>
      <c r="H159">
        <f>INDEX(Capacity!$E$3:$E$7,MATCH(A159,Capacity!$D$3:$D$7,0))</f>
        <v>358</v>
      </c>
      <c r="I159">
        <f>INDEX(Capacity!$F$3:$F$7,MATCH(A159,Capacity!$D$3:$D$7,0))</f>
        <v>1537</v>
      </c>
      <c r="J159">
        <f t="shared" si="7"/>
        <v>1687</v>
      </c>
      <c r="K159" s="1">
        <f t="shared" si="8"/>
        <v>46364</v>
      </c>
    </row>
    <row r="160" spans="1:11">
      <c r="A160" t="str">
        <f>'Demand Projection'!B160</f>
        <v>SKU PROD D</v>
      </c>
      <c r="B160" s="1">
        <f>'Demand Projection'!C160</f>
        <v>46362</v>
      </c>
      <c r="C160">
        <f>'Demand Projection'!D160</f>
        <v>511</v>
      </c>
      <c r="D160">
        <f>SUMIFS(Warehouse!$D$2:$D$6,Warehouse!$B$2:$B$6,A160)</f>
        <v>3500</v>
      </c>
      <c r="E160">
        <f>SUMIFS($C$2:C160,$A$2:A160,A160)</f>
        <v>49487</v>
      </c>
      <c r="F160">
        <f>SUMIFS($J$2:J159,$A$2:A159,A160,$K$2:K159,"&lt;="&amp;B160)</f>
        <v>49008</v>
      </c>
      <c r="G160">
        <f t="shared" si="6"/>
        <v>3021</v>
      </c>
      <c r="H160">
        <f>INDEX(Capacity!$E$3:$E$7,MATCH(A160,Capacity!$D$3:$D$7,0))</f>
        <v>430</v>
      </c>
      <c r="I160">
        <f>INDEX(Capacity!$F$3:$F$7,MATCH(A160,Capacity!$D$3:$D$7,0))</f>
        <v>3532</v>
      </c>
      <c r="J160">
        <f t="shared" si="7"/>
        <v>0</v>
      </c>
      <c r="K160" s="1">
        <f t="shared" si="8"/>
        <v>46365</v>
      </c>
    </row>
    <row r="161" spans="1:11">
      <c r="A161" t="str">
        <f>'Demand Projection'!B161</f>
        <v>SKU PROD A</v>
      </c>
      <c r="B161" s="1">
        <f>'Demand Projection'!C161</f>
        <v>46363</v>
      </c>
      <c r="C161">
        <f>'Demand Projection'!D161</f>
        <v>848</v>
      </c>
      <c r="D161">
        <f>SUMIFS(Warehouse!$D$2:$D$6,Warehouse!$B$2:$B$6,A161)</f>
        <v>2200</v>
      </c>
      <c r="E161">
        <f>SUMIFS($C$2:C161,$A$2:A161,A161)</f>
        <v>37332</v>
      </c>
      <c r="F161">
        <f>SUMIFS($J$2:J160,$A$2:A160,A161,$K$2:K160,"&lt;="&amp;B161)</f>
        <v>36343</v>
      </c>
      <c r="G161">
        <f t="shared" si="6"/>
        <v>1211</v>
      </c>
      <c r="H161">
        <f>INDEX(Capacity!$E$3:$E$7,MATCH(A161,Capacity!$D$3:$D$7,0))</f>
        <v>678</v>
      </c>
      <c r="I161">
        <f>INDEX(Capacity!$F$3:$F$7,MATCH(A161,Capacity!$D$3:$D$7,0))</f>
        <v>2632</v>
      </c>
      <c r="J161">
        <f t="shared" si="7"/>
        <v>0</v>
      </c>
      <c r="K161" s="1">
        <f t="shared" si="8"/>
        <v>46366</v>
      </c>
    </row>
    <row r="162" spans="1:11">
      <c r="A162" t="str">
        <f>'Demand Projection'!B162</f>
        <v>SKU PROD C</v>
      </c>
      <c r="B162" s="1">
        <f>'Demand Projection'!C162</f>
        <v>46365</v>
      </c>
      <c r="C162">
        <f>'Demand Projection'!D162</f>
        <v>426</v>
      </c>
      <c r="D162">
        <f>SUMIFS(Warehouse!$D$2:$D$6,Warehouse!$B$2:$B$6,A162)</f>
        <v>1700</v>
      </c>
      <c r="E162">
        <f>SUMIFS($C$2:C162,$A$2:A162,A162)</f>
        <v>23552</v>
      </c>
      <c r="F162">
        <f>SUMIFS($J$2:J161,$A$2:A161,A162,$K$2:K161,"&lt;="&amp;B162)</f>
        <v>22963</v>
      </c>
      <c r="G162">
        <f t="shared" si="6"/>
        <v>1111</v>
      </c>
      <c r="H162">
        <f>INDEX(Capacity!$E$3:$E$7,MATCH(A162,Capacity!$D$3:$D$7,0))</f>
        <v>358</v>
      </c>
      <c r="I162">
        <f>INDEX(Capacity!$F$3:$F$7,MATCH(A162,Capacity!$D$3:$D$7,0))</f>
        <v>1537</v>
      </c>
      <c r="J162">
        <f t="shared" si="7"/>
        <v>0</v>
      </c>
      <c r="K162" s="1">
        <f t="shared" si="8"/>
        <v>46368</v>
      </c>
    </row>
    <row r="163" spans="1:11">
      <c r="A163" t="str">
        <f>'Demand Projection'!B163</f>
        <v>SKU PROD E</v>
      </c>
      <c r="B163" s="1">
        <f>'Demand Projection'!C163</f>
        <v>46368</v>
      </c>
      <c r="C163">
        <f>'Demand Projection'!D163</f>
        <v>314</v>
      </c>
      <c r="D163">
        <f>SUMIFS(Warehouse!$D$2:$D$6,Warehouse!$B$2:$B$6,A163)</f>
        <v>2300</v>
      </c>
      <c r="E163">
        <f>SUMIFS($C$2:C163,$A$2:A163,A163)</f>
        <v>27043</v>
      </c>
      <c r="F163">
        <f>SUMIFS($J$2:J162,$A$2:A162,A163,$K$2:K162,"&lt;="&amp;B163)</f>
        <v>26786</v>
      </c>
      <c r="G163">
        <f t="shared" si="6"/>
        <v>2043</v>
      </c>
      <c r="H163">
        <f>INDEX(Capacity!$E$3:$E$7,MATCH(A163,Capacity!$D$3:$D$7,0))</f>
        <v>250</v>
      </c>
      <c r="I163">
        <f>INDEX(Capacity!$F$3:$F$7,MATCH(A163,Capacity!$D$3:$D$7,0))</f>
        <v>2357</v>
      </c>
      <c r="J163">
        <f t="shared" si="7"/>
        <v>0</v>
      </c>
      <c r="K163" s="1">
        <f t="shared" si="8"/>
        <v>46371</v>
      </c>
    </row>
    <row r="164" spans="1:11">
      <c r="A164" t="str">
        <f>'Demand Projection'!B164</f>
        <v>SKU PROD B</v>
      </c>
      <c r="B164" s="1">
        <f>'Demand Projection'!C164</f>
        <v>46369</v>
      </c>
      <c r="C164">
        <f>'Demand Projection'!D164</f>
        <v>447</v>
      </c>
      <c r="D164">
        <f>SUMIFS(Warehouse!$D$2:$D$6,Warehouse!$B$2:$B$6,A164)</f>
        <v>8000</v>
      </c>
      <c r="E164">
        <f>SUMIFS($C$2:C164,$A$2:A164,A164)</f>
        <v>73852</v>
      </c>
      <c r="F164">
        <f>SUMIFS($J$2:J163,$A$2:A163,A164,$K$2:K163,"&lt;="&amp;B164)</f>
        <v>71975</v>
      </c>
      <c r="G164">
        <f t="shared" si="6"/>
        <v>6123</v>
      </c>
      <c r="H164">
        <f>INDEX(Capacity!$E$3:$E$7,MATCH(A164,Capacity!$D$3:$D$7,0))</f>
        <v>376</v>
      </c>
      <c r="I164">
        <f>INDEX(Capacity!$F$3:$F$7,MATCH(A164,Capacity!$D$3:$D$7,0))</f>
        <v>6570</v>
      </c>
      <c r="J164">
        <f t="shared" si="7"/>
        <v>0</v>
      </c>
      <c r="K164" s="1">
        <f t="shared" si="8"/>
        <v>46372</v>
      </c>
    </row>
    <row r="165" spans="1:11">
      <c r="A165" t="str">
        <f>'Demand Projection'!B165</f>
        <v>SKU PROD D</v>
      </c>
      <c r="B165" s="1">
        <f>'Demand Projection'!C165</f>
        <v>46373</v>
      </c>
      <c r="C165">
        <f>'Demand Projection'!D165</f>
        <v>633</v>
      </c>
      <c r="D165">
        <f>SUMIFS(Warehouse!$D$2:$D$6,Warehouse!$B$2:$B$6,A165)</f>
        <v>3500</v>
      </c>
      <c r="E165">
        <f>SUMIFS($C$2:C165,$A$2:A165,A165)</f>
        <v>50120</v>
      </c>
      <c r="F165">
        <f>SUMIFS($J$2:J164,$A$2:A164,A165,$K$2:K164,"&lt;="&amp;B165)</f>
        <v>49008</v>
      </c>
      <c r="G165">
        <f t="shared" si="6"/>
        <v>2388</v>
      </c>
      <c r="H165">
        <f>INDEX(Capacity!$E$3:$E$7,MATCH(A165,Capacity!$D$3:$D$7,0))</f>
        <v>430</v>
      </c>
      <c r="I165">
        <f>INDEX(Capacity!$F$3:$F$7,MATCH(A165,Capacity!$D$3:$D$7,0))</f>
        <v>3532</v>
      </c>
      <c r="J165">
        <f t="shared" si="7"/>
        <v>0</v>
      </c>
      <c r="K165" s="1">
        <f t="shared" si="8"/>
        <v>46376</v>
      </c>
    </row>
    <row r="166" spans="1:11">
      <c r="A166" t="str">
        <f>'Demand Projection'!B166</f>
        <v>SKU PROD C</v>
      </c>
      <c r="B166" s="1">
        <f>'Demand Projection'!C166</f>
        <v>46376</v>
      </c>
      <c r="C166">
        <f>'Demand Projection'!D166</f>
        <v>584</v>
      </c>
      <c r="D166">
        <f>SUMIFS(Warehouse!$D$2:$D$6,Warehouse!$B$2:$B$6,A166)</f>
        <v>1700</v>
      </c>
      <c r="E166">
        <f>SUMIFS($C$2:C166,$A$2:A166,A166)</f>
        <v>24136</v>
      </c>
      <c r="F166">
        <f>SUMIFS($J$2:J165,$A$2:A165,A166,$K$2:K165,"&lt;="&amp;B166)</f>
        <v>22963</v>
      </c>
      <c r="G166">
        <f t="shared" si="6"/>
        <v>527</v>
      </c>
      <c r="H166">
        <f>INDEX(Capacity!$E$3:$E$7,MATCH(A166,Capacity!$D$3:$D$7,0))</f>
        <v>358</v>
      </c>
      <c r="I166">
        <f>INDEX(Capacity!$F$3:$F$7,MATCH(A166,Capacity!$D$3:$D$7,0))</f>
        <v>1537</v>
      </c>
      <c r="J166">
        <f t="shared" si="7"/>
        <v>0</v>
      </c>
      <c r="K166" s="1">
        <f t="shared" si="8"/>
        <v>46379</v>
      </c>
    </row>
    <row r="167" spans="1:11">
      <c r="A167" t="str">
        <f>'Demand Projection'!B167</f>
        <v>SKU PROD A</v>
      </c>
      <c r="B167" s="1">
        <f>'Demand Projection'!C167</f>
        <v>46380</v>
      </c>
      <c r="C167">
        <f>'Demand Projection'!D167</f>
        <v>806</v>
      </c>
      <c r="D167">
        <f>SUMIFS(Warehouse!$D$2:$D$6,Warehouse!$B$2:$B$6,A167)</f>
        <v>2200</v>
      </c>
      <c r="E167">
        <f>SUMIFS($C$2:C167,$A$2:A167,A167)</f>
        <v>38138</v>
      </c>
      <c r="F167">
        <f>SUMIFS($J$2:J166,$A$2:A166,A167,$K$2:K166,"&lt;="&amp;B167)</f>
        <v>36343</v>
      </c>
      <c r="G167">
        <f t="shared" si="6"/>
        <v>405</v>
      </c>
      <c r="H167">
        <f>INDEX(Capacity!$E$3:$E$7,MATCH(A167,Capacity!$D$3:$D$7,0))</f>
        <v>678</v>
      </c>
      <c r="I167">
        <f>INDEX(Capacity!$F$3:$F$7,MATCH(A167,Capacity!$D$3:$D$7,0))</f>
        <v>2632</v>
      </c>
      <c r="J167">
        <f t="shared" si="7"/>
        <v>2227</v>
      </c>
      <c r="K167" s="1">
        <f t="shared" si="8"/>
        <v>46383</v>
      </c>
    </row>
    <row r="168" spans="1:11">
      <c r="A168" t="str">
        <f>'Demand Projection'!B168</f>
        <v>SKU PROD D</v>
      </c>
      <c r="B168" s="1">
        <f>'Demand Projection'!C168</f>
        <v>46384</v>
      </c>
      <c r="C168">
        <f>'Demand Projection'!D168</f>
        <v>3532</v>
      </c>
      <c r="D168">
        <f>SUMIFS(Warehouse!$D$2:$D$6,Warehouse!$B$2:$B$6,A168)</f>
        <v>3500</v>
      </c>
      <c r="E168">
        <f>SUMIFS($C$2:C168,$A$2:A168,A168)</f>
        <v>53652</v>
      </c>
      <c r="F168">
        <f>SUMIFS($J$2:J167,$A$2:A167,A168,$K$2:K167,"&lt;="&amp;B168)</f>
        <v>49008</v>
      </c>
      <c r="G168">
        <f t="shared" si="6"/>
        <v>-1144</v>
      </c>
      <c r="H168">
        <f>INDEX(Capacity!$E$3:$E$7,MATCH(A168,Capacity!$D$3:$D$7,0))</f>
        <v>430</v>
      </c>
      <c r="I168">
        <f>INDEX(Capacity!$F$3:$F$7,MATCH(A168,Capacity!$D$3:$D$7,0))</f>
        <v>3532</v>
      </c>
      <c r="J168">
        <f t="shared" si="7"/>
        <v>4676</v>
      </c>
      <c r="K168" s="1">
        <f t="shared" si="8"/>
        <v>46387</v>
      </c>
    </row>
    <row r="169" spans="1:11">
      <c r="A169" t="str">
        <f>'Demand Projection'!B169</f>
        <v>SKU PROD E</v>
      </c>
      <c r="B169" s="1">
        <f>'Demand Projection'!C169</f>
        <v>46384</v>
      </c>
      <c r="C169">
        <f>'Demand Projection'!D169</f>
        <v>2357</v>
      </c>
      <c r="D169">
        <f>SUMIFS(Warehouse!$D$2:$D$6,Warehouse!$B$2:$B$6,A169)</f>
        <v>2300</v>
      </c>
      <c r="E169">
        <f>SUMIFS($C$2:C169,$A$2:A169,A169)</f>
        <v>29400</v>
      </c>
      <c r="F169">
        <f>SUMIFS($J$2:J168,$A$2:A168,A169,$K$2:K168,"&lt;="&amp;B169)</f>
        <v>26786</v>
      </c>
      <c r="G169">
        <f t="shared" si="6"/>
        <v>-314</v>
      </c>
      <c r="H169">
        <f>INDEX(Capacity!$E$3:$E$7,MATCH(A169,Capacity!$D$3:$D$7,0))</f>
        <v>250</v>
      </c>
      <c r="I169">
        <f>INDEX(Capacity!$F$3:$F$7,MATCH(A169,Capacity!$D$3:$D$7,0))</f>
        <v>2357</v>
      </c>
      <c r="J169">
        <f t="shared" si="7"/>
        <v>2671</v>
      </c>
      <c r="K169" s="1">
        <f t="shared" si="8"/>
        <v>46387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DD9A-F121-40AC-A563-395F45C511A5}">
  <dimension ref="A1:D169"/>
  <sheetViews>
    <sheetView tabSelected="1" workbookViewId="0">
      <selection activeCell="I8" sqref="I8"/>
    </sheetView>
  </sheetViews>
  <sheetFormatPr defaultRowHeight="14.25"/>
  <cols>
    <col min="1" max="1" width="12.375" bestFit="1" customWidth="1"/>
    <col min="2" max="2" width="9.5" bestFit="1" customWidth="1"/>
    <col min="4" max="4" width="13.25" bestFit="1" customWidth="1"/>
  </cols>
  <sheetData>
    <row r="1" spans="1:4">
      <c r="A1" t="s">
        <v>2</v>
      </c>
      <c r="B1" t="s">
        <v>21</v>
      </c>
      <c r="C1" t="s">
        <v>3</v>
      </c>
      <c r="D1" t="s">
        <v>22</v>
      </c>
    </row>
    <row r="2" spans="1:4">
      <c r="A2" t="str">
        <f>'Demand Projection'!B2</f>
        <v>SKU PROD A</v>
      </c>
      <c r="B2" s="1">
        <f>'Demand Projection'!C2</f>
        <v>46025</v>
      </c>
      <c r="C2">
        <f>'Demand Projection'!D2</f>
        <v>1000</v>
      </c>
      <c r="D2">
        <f>SUMIFS($C$2:$C$169,$A$2:$A$169,A2,$B$2:$B$169,"&gt;="&amp;B2,$B$2:$B$169,"&lt;="&amp;B2+5)</f>
        <v>2400</v>
      </c>
    </row>
    <row r="3" spans="1:4">
      <c r="A3" t="str">
        <f>'Demand Projection'!B3</f>
        <v>SKU PROD B</v>
      </c>
      <c r="B3" s="1">
        <f>'Demand Projection'!C3</f>
        <v>46025</v>
      </c>
      <c r="C3">
        <f>'Demand Projection'!D3</f>
        <v>6000</v>
      </c>
      <c r="D3">
        <f t="shared" ref="D3:D66" si="0">SUMIFS($C$2:$C$169,$A$2:$A$169,A3,$B$2:$B$169,"&gt;="&amp;B3,$B$2:$B$169,"&lt;="&amp;B3+5)</f>
        <v>6000</v>
      </c>
    </row>
    <row r="4" spans="1:4">
      <c r="A4" t="str">
        <f>'Demand Projection'!B4</f>
        <v>SKU PROD A</v>
      </c>
      <c r="B4" s="1">
        <f>'Demand Projection'!C4</f>
        <v>46026</v>
      </c>
      <c r="C4">
        <f>'Demand Projection'!D4</f>
        <v>400</v>
      </c>
      <c r="D4">
        <f t="shared" si="0"/>
        <v>1400</v>
      </c>
    </row>
    <row r="5" spans="1:4">
      <c r="A5" t="str">
        <f>'Demand Projection'!B5</f>
        <v>SKU PROD C</v>
      </c>
      <c r="B5" s="1">
        <f>'Demand Projection'!C5</f>
        <v>46027</v>
      </c>
      <c r="C5">
        <f>'Demand Projection'!D5</f>
        <v>900</v>
      </c>
      <c r="D5">
        <f t="shared" si="0"/>
        <v>1400</v>
      </c>
    </row>
    <row r="6" spans="1:4">
      <c r="A6" t="str">
        <f>'Demand Projection'!B6</f>
        <v>SKU PROD D</v>
      </c>
      <c r="B6" s="1">
        <f>'Demand Projection'!C6</f>
        <v>46028</v>
      </c>
      <c r="C6">
        <f>'Demand Projection'!D6</f>
        <v>600</v>
      </c>
      <c r="D6">
        <f t="shared" si="0"/>
        <v>600</v>
      </c>
    </row>
    <row r="7" spans="1:4">
      <c r="A7" t="str">
        <f>'Demand Projection'!B7</f>
        <v>SKU PROD A</v>
      </c>
      <c r="B7" s="1">
        <f>'Demand Projection'!C7</f>
        <v>46029</v>
      </c>
      <c r="C7">
        <f>'Demand Projection'!D7</f>
        <v>1000</v>
      </c>
      <c r="D7">
        <f t="shared" si="0"/>
        <v>1000</v>
      </c>
    </row>
    <row r="8" spans="1:4">
      <c r="A8" t="str">
        <f>'Demand Projection'!B8</f>
        <v>SKU PROD C</v>
      </c>
      <c r="B8" s="1">
        <f>'Demand Projection'!C8</f>
        <v>46031</v>
      </c>
      <c r="C8">
        <f>'Demand Projection'!D8</f>
        <v>500</v>
      </c>
      <c r="D8">
        <f t="shared" si="0"/>
        <v>500</v>
      </c>
    </row>
    <row r="9" spans="1:4">
      <c r="A9" t="str">
        <f>'Demand Projection'!B9</f>
        <v>SKU PROD E</v>
      </c>
      <c r="B9" s="1">
        <f>'Demand Projection'!C9</f>
        <v>46034</v>
      </c>
      <c r="C9">
        <f>'Demand Projection'!D9</f>
        <v>400</v>
      </c>
      <c r="D9">
        <f t="shared" si="0"/>
        <v>400</v>
      </c>
    </row>
    <row r="10" spans="1:4">
      <c r="A10" t="str">
        <f>'Demand Projection'!B10</f>
        <v>SKU PROD B</v>
      </c>
      <c r="B10" s="1">
        <f>'Demand Projection'!C10</f>
        <v>46035</v>
      </c>
      <c r="C10">
        <f>'Demand Projection'!D10</f>
        <v>600</v>
      </c>
      <c r="D10">
        <f t="shared" si="0"/>
        <v>600</v>
      </c>
    </row>
    <row r="11" spans="1:4">
      <c r="A11" t="str">
        <f>'Demand Projection'!B11</f>
        <v>SKU PROD D</v>
      </c>
      <c r="B11" s="1">
        <f>'Demand Projection'!C11</f>
        <v>46039</v>
      </c>
      <c r="C11">
        <f>'Demand Projection'!D11</f>
        <v>900</v>
      </c>
      <c r="D11">
        <f t="shared" si="0"/>
        <v>900</v>
      </c>
    </row>
    <row r="12" spans="1:4">
      <c r="A12" t="str">
        <f>'Demand Projection'!B12</f>
        <v>SKU PROD C</v>
      </c>
      <c r="B12" s="1">
        <f>'Demand Projection'!C12</f>
        <v>46042</v>
      </c>
      <c r="C12">
        <f>'Demand Projection'!D12</f>
        <v>800</v>
      </c>
      <c r="D12">
        <f t="shared" si="0"/>
        <v>800</v>
      </c>
    </row>
    <row r="13" spans="1:4">
      <c r="A13" t="str">
        <f>'Demand Projection'!B13</f>
        <v>SKU PROD A</v>
      </c>
      <c r="B13" s="1">
        <f>'Demand Projection'!C13</f>
        <v>46046</v>
      </c>
      <c r="C13">
        <f>'Demand Projection'!D13</f>
        <v>1000</v>
      </c>
      <c r="D13">
        <f t="shared" si="0"/>
        <v>1000</v>
      </c>
    </row>
    <row r="14" spans="1:4">
      <c r="A14" t="str">
        <f>'Demand Projection'!B14</f>
        <v>SKU PROD D</v>
      </c>
      <c r="B14" s="1">
        <f>'Demand Projection'!C14</f>
        <v>46050</v>
      </c>
      <c r="C14">
        <f>'Demand Projection'!D14</f>
        <v>3000</v>
      </c>
      <c r="D14">
        <f t="shared" si="0"/>
        <v>3000</v>
      </c>
    </row>
    <row r="15" spans="1:4">
      <c r="A15" t="str">
        <f>'Demand Projection'!B15</f>
        <v>SKU PROD E</v>
      </c>
      <c r="B15" s="1">
        <f>'Demand Projection'!C15</f>
        <v>46050</v>
      </c>
      <c r="C15">
        <f>'Demand Projection'!D15</f>
        <v>2000</v>
      </c>
      <c r="D15">
        <f t="shared" si="0"/>
        <v>2000</v>
      </c>
    </row>
    <row r="16" spans="1:4">
      <c r="A16" t="str">
        <f>'Demand Projection'!B16</f>
        <v>SKU PROD A</v>
      </c>
      <c r="B16" s="1">
        <f>'Demand Projection'!C16</f>
        <v>46056</v>
      </c>
      <c r="C16">
        <f>'Demand Projection'!D16</f>
        <v>1050</v>
      </c>
      <c r="D16">
        <f t="shared" si="0"/>
        <v>2520</v>
      </c>
    </row>
    <row r="17" spans="1:4">
      <c r="A17" t="str">
        <f>'Demand Projection'!B17</f>
        <v>SKU PROD B</v>
      </c>
      <c r="B17" s="1">
        <f>'Demand Projection'!C17</f>
        <v>46056</v>
      </c>
      <c r="C17">
        <f>'Demand Projection'!D17</f>
        <v>6300</v>
      </c>
      <c r="D17">
        <f t="shared" si="0"/>
        <v>6300</v>
      </c>
    </row>
    <row r="18" spans="1:4">
      <c r="A18" t="str">
        <f>'Demand Projection'!B18</f>
        <v>SKU PROD A</v>
      </c>
      <c r="B18" s="1">
        <f>'Demand Projection'!C18</f>
        <v>46057</v>
      </c>
      <c r="C18">
        <f>'Demand Projection'!D18</f>
        <v>420</v>
      </c>
      <c r="D18">
        <f t="shared" si="0"/>
        <v>1470</v>
      </c>
    </row>
    <row r="19" spans="1:4">
      <c r="A19" t="str">
        <f>'Demand Projection'!B19</f>
        <v>SKU PROD C</v>
      </c>
      <c r="B19" s="1">
        <f>'Demand Projection'!C19</f>
        <v>46058</v>
      </c>
      <c r="C19">
        <f>'Demand Projection'!D19</f>
        <v>945</v>
      </c>
      <c r="D19">
        <f t="shared" si="0"/>
        <v>1470</v>
      </c>
    </row>
    <row r="20" spans="1:4">
      <c r="A20" t="str">
        <f>'Demand Projection'!B20</f>
        <v>SKU PROD D</v>
      </c>
      <c r="B20" s="1">
        <f>'Demand Projection'!C20</f>
        <v>46059</v>
      </c>
      <c r="C20">
        <f>'Demand Projection'!D20</f>
        <v>630</v>
      </c>
      <c r="D20">
        <f t="shared" si="0"/>
        <v>630</v>
      </c>
    </row>
    <row r="21" spans="1:4">
      <c r="A21" t="str">
        <f>'Demand Projection'!B21</f>
        <v>SKU PROD A</v>
      </c>
      <c r="B21" s="1">
        <f>'Demand Projection'!C21</f>
        <v>46060</v>
      </c>
      <c r="C21">
        <f>'Demand Projection'!D21</f>
        <v>1050</v>
      </c>
      <c r="D21">
        <f t="shared" si="0"/>
        <v>1050</v>
      </c>
    </row>
    <row r="22" spans="1:4">
      <c r="A22" t="str">
        <f>'Demand Projection'!B22</f>
        <v>SKU PROD C</v>
      </c>
      <c r="B22" s="1">
        <f>'Demand Projection'!C22</f>
        <v>46062</v>
      </c>
      <c r="C22">
        <f>'Demand Projection'!D22</f>
        <v>525</v>
      </c>
      <c r="D22">
        <f t="shared" si="0"/>
        <v>525</v>
      </c>
    </row>
    <row r="23" spans="1:4">
      <c r="A23" t="str">
        <f>'Demand Projection'!B23</f>
        <v>SKU PROD E</v>
      </c>
      <c r="B23" s="1">
        <f>'Demand Projection'!C23</f>
        <v>46065</v>
      </c>
      <c r="C23">
        <f>'Demand Projection'!D23</f>
        <v>420</v>
      </c>
      <c r="D23">
        <f t="shared" si="0"/>
        <v>420</v>
      </c>
    </row>
    <row r="24" spans="1:4">
      <c r="A24" t="str">
        <f>'Demand Projection'!B24</f>
        <v>SKU PROD B</v>
      </c>
      <c r="B24" s="1">
        <f>'Demand Projection'!C24</f>
        <v>46066</v>
      </c>
      <c r="C24">
        <f>'Demand Projection'!D24</f>
        <v>630</v>
      </c>
      <c r="D24">
        <f t="shared" si="0"/>
        <v>630</v>
      </c>
    </row>
    <row r="25" spans="1:4">
      <c r="A25" t="str">
        <f>'Demand Projection'!B25</f>
        <v>SKU PROD D</v>
      </c>
      <c r="B25" s="1">
        <f>'Demand Projection'!C25</f>
        <v>46070</v>
      </c>
      <c r="C25">
        <f>'Demand Projection'!D25</f>
        <v>968</v>
      </c>
      <c r="D25">
        <f t="shared" si="0"/>
        <v>968</v>
      </c>
    </row>
    <row r="26" spans="1:4">
      <c r="A26" t="str">
        <f>'Demand Projection'!B26</f>
        <v>SKU PROD C</v>
      </c>
      <c r="B26" s="1">
        <f>'Demand Projection'!C26</f>
        <v>46073</v>
      </c>
      <c r="C26">
        <f>'Demand Projection'!D26</f>
        <v>860</v>
      </c>
      <c r="D26">
        <f t="shared" si="0"/>
        <v>860</v>
      </c>
    </row>
    <row r="27" spans="1:4">
      <c r="A27" t="str">
        <f>'Demand Projection'!B27</f>
        <v>SKU PROD A</v>
      </c>
      <c r="B27" s="1">
        <f>'Demand Projection'!C27</f>
        <v>46077</v>
      </c>
      <c r="C27">
        <f>'Demand Projection'!D27</f>
        <v>1075</v>
      </c>
      <c r="D27">
        <f t="shared" si="0"/>
        <v>1075</v>
      </c>
    </row>
    <row r="28" spans="1:4">
      <c r="A28" t="str">
        <f>'Demand Projection'!B28</f>
        <v>SKU PROD D</v>
      </c>
      <c r="B28" s="1">
        <f>'Demand Projection'!C28</f>
        <v>46081</v>
      </c>
      <c r="C28">
        <f>'Demand Projection'!D28</f>
        <v>3225</v>
      </c>
      <c r="D28">
        <f t="shared" si="0"/>
        <v>3225</v>
      </c>
    </row>
    <row r="29" spans="1:4">
      <c r="A29" t="str">
        <f>'Demand Projection'!B29</f>
        <v>SKU PROD E</v>
      </c>
      <c r="B29" s="1">
        <f>'Demand Projection'!C29</f>
        <v>46081</v>
      </c>
      <c r="C29">
        <f>'Demand Projection'!D29</f>
        <v>2150</v>
      </c>
      <c r="D29">
        <f t="shared" si="0"/>
        <v>2150</v>
      </c>
    </row>
    <row r="30" spans="1:4">
      <c r="A30" t="str">
        <f>'Demand Projection'!B30</f>
        <v>SKU PROD A</v>
      </c>
      <c r="B30" s="1">
        <f>'Demand Projection'!C30</f>
        <v>46084</v>
      </c>
      <c r="C30">
        <f>'Demand Projection'!D30</f>
        <v>1029</v>
      </c>
      <c r="D30">
        <f t="shared" si="0"/>
        <v>2470</v>
      </c>
    </row>
    <row r="31" spans="1:4">
      <c r="A31" t="str">
        <f>'Demand Projection'!B31</f>
        <v>SKU PROD B</v>
      </c>
      <c r="B31" s="1">
        <f>'Demand Projection'!C31</f>
        <v>46084</v>
      </c>
      <c r="C31">
        <f>'Demand Projection'!D31</f>
        <v>6174</v>
      </c>
      <c r="D31">
        <f t="shared" si="0"/>
        <v>6174</v>
      </c>
    </row>
    <row r="32" spans="1:4">
      <c r="A32" t="str">
        <f>'Demand Projection'!B32</f>
        <v>SKU PROD A</v>
      </c>
      <c r="B32" s="1">
        <f>'Demand Projection'!C32</f>
        <v>46085</v>
      </c>
      <c r="C32">
        <f>'Demand Projection'!D32</f>
        <v>412</v>
      </c>
      <c r="D32">
        <f t="shared" si="0"/>
        <v>1441</v>
      </c>
    </row>
    <row r="33" spans="1:4">
      <c r="A33" t="str">
        <f>'Demand Projection'!B33</f>
        <v>SKU PROD C</v>
      </c>
      <c r="B33" s="1">
        <f>'Demand Projection'!C33</f>
        <v>46086</v>
      </c>
      <c r="C33">
        <f>'Demand Projection'!D33</f>
        <v>927</v>
      </c>
      <c r="D33">
        <f t="shared" si="0"/>
        <v>1442</v>
      </c>
    </row>
    <row r="34" spans="1:4">
      <c r="A34" t="str">
        <f>'Demand Projection'!B34</f>
        <v>SKU PROD D</v>
      </c>
      <c r="B34" s="1">
        <f>'Demand Projection'!C34</f>
        <v>46087</v>
      </c>
      <c r="C34">
        <f>'Demand Projection'!D34</f>
        <v>618</v>
      </c>
      <c r="D34">
        <f t="shared" si="0"/>
        <v>618</v>
      </c>
    </row>
    <row r="35" spans="1:4">
      <c r="A35" t="str">
        <f>'Demand Projection'!B35</f>
        <v>SKU PROD A</v>
      </c>
      <c r="B35" s="1">
        <f>'Demand Projection'!C35</f>
        <v>46088</v>
      </c>
      <c r="C35">
        <f>'Demand Projection'!D35</f>
        <v>1029</v>
      </c>
      <c r="D35">
        <f t="shared" si="0"/>
        <v>1029</v>
      </c>
    </row>
    <row r="36" spans="1:4">
      <c r="A36" t="str">
        <f>'Demand Projection'!B36</f>
        <v>SKU PROD C</v>
      </c>
      <c r="B36" s="1">
        <f>'Demand Projection'!C36</f>
        <v>46090</v>
      </c>
      <c r="C36">
        <f>'Demand Projection'!D36</f>
        <v>515</v>
      </c>
      <c r="D36">
        <f t="shared" si="0"/>
        <v>515</v>
      </c>
    </row>
    <row r="37" spans="1:4">
      <c r="A37" t="str">
        <f>'Demand Projection'!B37</f>
        <v>SKU PROD E</v>
      </c>
      <c r="B37" s="1">
        <f>'Demand Projection'!C37</f>
        <v>46093</v>
      </c>
      <c r="C37">
        <f>'Demand Projection'!D37</f>
        <v>412</v>
      </c>
      <c r="D37">
        <f t="shared" si="0"/>
        <v>412</v>
      </c>
    </row>
    <row r="38" spans="1:4">
      <c r="A38" t="str">
        <f>'Demand Projection'!B38</f>
        <v>SKU PROD B</v>
      </c>
      <c r="B38" s="1">
        <f>'Demand Projection'!C38</f>
        <v>46094</v>
      </c>
      <c r="C38">
        <f>'Demand Projection'!D38</f>
        <v>618</v>
      </c>
      <c r="D38">
        <f t="shared" si="0"/>
        <v>618</v>
      </c>
    </row>
    <row r="39" spans="1:4">
      <c r="A39" t="str">
        <f>'Demand Projection'!B39</f>
        <v>SKU PROD D</v>
      </c>
      <c r="B39" s="1">
        <f>'Demand Projection'!C39</f>
        <v>46098</v>
      </c>
      <c r="C39">
        <f>'Demand Projection'!D39</f>
        <v>949</v>
      </c>
      <c r="D39">
        <f t="shared" si="0"/>
        <v>949</v>
      </c>
    </row>
    <row r="40" spans="1:4">
      <c r="A40" t="str">
        <f>'Demand Projection'!B40</f>
        <v>SKU PROD C</v>
      </c>
      <c r="B40" s="1">
        <f>'Demand Projection'!C40</f>
        <v>46101</v>
      </c>
      <c r="C40">
        <f>'Demand Projection'!D40</f>
        <v>873</v>
      </c>
      <c r="D40">
        <f t="shared" si="0"/>
        <v>873</v>
      </c>
    </row>
    <row r="41" spans="1:4">
      <c r="A41" t="str">
        <f>'Demand Projection'!B41</f>
        <v>SKU PROD A</v>
      </c>
      <c r="B41" s="1">
        <f>'Demand Projection'!C41</f>
        <v>46105</v>
      </c>
      <c r="C41">
        <f>'Demand Projection'!D41</f>
        <v>1092</v>
      </c>
      <c r="D41">
        <f t="shared" si="0"/>
        <v>1092</v>
      </c>
    </row>
    <row r="42" spans="1:4">
      <c r="A42" t="str">
        <f>'Demand Projection'!B42</f>
        <v>SKU PROD D</v>
      </c>
      <c r="B42" s="1">
        <f>'Demand Projection'!C42</f>
        <v>46109</v>
      </c>
      <c r="C42">
        <f>'Demand Projection'!D42</f>
        <v>3274</v>
      </c>
      <c r="D42">
        <f t="shared" si="0"/>
        <v>3274</v>
      </c>
    </row>
    <row r="43" spans="1:4">
      <c r="A43" t="str">
        <f>'Demand Projection'!B43</f>
        <v>SKU PROD E</v>
      </c>
      <c r="B43" s="1">
        <f>'Demand Projection'!C43</f>
        <v>46109</v>
      </c>
      <c r="C43">
        <f>'Demand Projection'!D43</f>
        <v>2183</v>
      </c>
      <c r="D43">
        <f t="shared" si="0"/>
        <v>2183</v>
      </c>
    </row>
    <row r="44" spans="1:4">
      <c r="A44" t="str">
        <f>'Demand Projection'!B44</f>
        <v>SKU PROD A</v>
      </c>
      <c r="B44" s="1">
        <f>'Demand Projection'!C44</f>
        <v>46115</v>
      </c>
      <c r="C44">
        <f>'Demand Projection'!D44</f>
        <v>1055</v>
      </c>
      <c r="D44">
        <f t="shared" si="0"/>
        <v>2533</v>
      </c>
    </row>
    <row r="45" spans="1:4">
      <c r="A45" t="str">
        <f>'Demand Projection'!B45</f>
        <v>SKU PROD B</v>
      </c>
      <c r="B45" s="1">
        <f>'Demand Projection'!C45</f>
        <v>46115</v>
      </c>
      <c r="C45">
        <f>'Demand Projection'!D45</f>
        <v>6329</v>
      </c>
      <c r="D45">
        <f t="shared" si="0"/>
        <v>6329</v>
      </c>
    </row>
    <row r="46" spans="1:4">
      <c r="A46" t="str">
        <f>'Demand Projection'!B46</f>
        <v>SKU PROD A</v>
      </c>
      <c r="B46" s="1">
        <f>'Demand Projection'!C46</f>
        <v>46116</v>
      </c>
      <c r="C46">
        <f>'Demand Projection'!D46</f>
        <v>423</v>
      </c>
      <c r="D46">
        <f t="shared" si="0"/>
        <v>1478</v>
      </c>
    </row>
    <row r="47" spans="1:4">
      <c r="A47" t="str">
        <f>'Demand Projection'!B47</f>
        <v>SKU PROD C</v>
      </c>
      <c r="B47" s="1">
        <f>'Demand Projection'!C47</f>
        <v>46117</v>
      </c>
      <c r="C47">
        <f>'Demand Projection'!D47</f>
        <v>951</v>
      </c>
      <c r="D47">
        <f t="shared" si="0"/>
        <v>1479</v>
      </c>
    </row>
    <row r="48" spans="1:4">
      <c r="A48" t="str">
        <f>'Demand Projection'!B48</f>
        <v>SKU PROD D</v>
      </c>
      <c r="B48" s="1">
        <f>'Demand Projection'!C48</f>
        <v>46118</v>
      </c>
      <c r="C48">
        <f>'Demand Projection'!D48</f>
        <v>634</v>
      </c>
      <c r="D48">
        <f t="shared" si="0"/>
        <v>634</v>
      </c>
    </row>
    <row r="49" spans="1:4">
      <c r="A49" t="str">
        <f>'Demand Projection'!B49</f>
        <v>SKU PROD A</v>
      </c>
      <c r="B49" s="1">
        <f>'Demand Projection'!C49</f>
        <v>46119</v>
      </c>
      <c r="C49">
        <f>'Demand Projection'!D49</f>
        <v>1055</v>
      </c>
      <c r="D49">
        <f t="shared" si="0"/>
        <v>1055</v>
      </c>
    </row>
    <row r="50" spans="1:4">
      <c r="A50" t="str">
        <f>'Demand Projection'!B50</f>
        <v>SKU PROD C</v>
      </c>
      <c r="B50" s="1">
        <f>'Demand Projection'!C50</f>
        <v>46121</v>
      </c>
      <c r="C50">
        <f>'Demand Projection'!D50</f>
        <v>528</v>
      </c>
      <c r="D50">
        <f t="shared" si="0"/>
        <v>528</v>
      </c>
    </row>
    <row r="51" spans="1:4">
      <c r="A51" t="str">
        <f>'Demand Projection'!B51</f>
        <v>SKU PROD E</v>
      </c>
      <c r="B51" s="1">
        <f>'Demand Projection'!C51</f>
        <v>46124</v>
      </c>
      <c r="C51">
        <f>'Demand Projection'!D51</f>
        <v>423</v>
      </c>
      <c r="D51">
        <f t="shared" si="0"/>
        <v>423</v>
      </c>
    </row>
    <row r="52" spans="1:4">
      <c r="A52" t="str">
        <f>'Demand Projection'!B52</f>
        <v>SKU PROD B</v>
      </c>
      <c r="B52" s="1">
        <f>'Demand Projection'!C52</f>
        <v>46125</v>
      </c>
      <c r="C52">
        <f>'Demand Projection'!D52</f>
        <v>634</v>
      </c>
      <c r="D52">
        <f t="shared" si="0"/>
        <v>634</v>
      </c>
    </row>
    <row r="53" spans="1:4">
      <c r="A53" t="str">
        <f>'Demand Projection'!B53</f>
        <v>SKU PROD D</v>
      </c>
      <c r="B53" s="1">
        <f>'Demand Projection'!C53</f>
        <v>46129</v>
      </c>
      <c r="C53">
        <f>'Demand Projection'!D53</f>
        <v>902</v>
      </c>
      <c r="D53">
        <f t="shared" si="0"/>
        <v>902</v>
      </c>
    </row>
    <row r="54" spans="1:4">
      <c r="A54" t="str">
        <f>'Demand Projection'!B54</f>
        <v>SKU PROD C</v>
      </c>
      <c r="B54" s="1">
        <f>'Demand Projection'!C54</f>
        <v>46132</v>
      </c>
      <c r="C54">
        <f>'Demand Projection'!D54</f>
        <v>830</v>
      </c>
      <c r="D54">
        <f t="shared" si="0"/>
        <v>830</v>
      </c>
    </row>
    <row r="55" spans="1:4">
      <c r="A55" t="str">
        <f>'Demand Projection'!B55</f>
        <v>SKU PROD A</v>
      </c>
      <c r="B55" s="1">
        <f>'Demand Projection'!C55</f>
        <v>46136</v>
      </c>
      <c r="C55">
        <f>'Demand Projection'!D55</f>
        <v>1038</v>
      </c>
      <c r="D55">
        <f t="shared" si="0"/>
        <v>1038</v>
      </c>
    </row>
    <row r="56" spans="1:4">
      <c r="A56" t="str">
        <f>'Demand Projection'!B56</f>
        <v>SKU PROD D</v>
      </c>
      <c r="B56" s="1">
        <f>'Demand Projection'!C56</f>
        <v>46140</v>
      </c>
      <c r="C56">
        <f>'Demand Projection'!D56</f>
        <v>3111</v>
      </c>
      <c r="D56">
        <f t="shared" si="0"/>
        <v>3111</v>
      </c>
    </row>
    <row r="57" spans="1:4">
      <c r="A57" t="str">
        <f>'Demand Projection'!B57</f>
        <v>SKU PROD E</v>
      </c>
      <c r="B57" s="1">
        <f>'Demand Projection'!C57</f>
        <v>46140</v>
      </c>
      <c r="C57">
        <f>'Demand Projection'!D57</f>
        <v>2074</v>
      </c>
      <c r="D57">
        <f t="shared" si="0"/>
        <v>2074</v>
      </c>
    </row>
    <row r="58" spans="1:4">
      <c r="A58" t="str">
        <f>'Demand Projection'!B58</f>
        <v>SKU PROD A</v>
      </c>
      <c r="B58" s="1">
        <f>'Demand Projection'!C58</f>
        <v>46145</v>
      </c>
      <c r="C58">
        <f>'Demand Projection'!D58</f>
        <v>1003</v>
      </c>
      <c r="D58">
        <f t="shared" si="0"/>
        <v>2408</v>
      </c>
    </row>
    <row r="59" spans="1:4">
      <c r="A59" t="str">
        <f>'Demand Projection'!B59</f>
        <v>SKU PROD B</v>
      </c>
      <c r="B59" s="1">
        <f>'Demand Projection'!C59</f>
        <v>46145</v>
      </c>
      <c r="C59">
        <f>'Demand Projection'!D59</f>
        <v>6013</v>
      </c>
      <c r="D59">
        <f t="shared" si="0"/>
        <v>6013</v>
      </c>
    </row>
    <row r="60" spans="1:4">
      <c r="A60" t="str">
        <f>'Demand Projection'!B60</f>
        <v>SKU PROD A</v>
      </c>
      <c r="B60" s="1">
        <f>'Demand Projection'!C60</f>
        <v>46146</v>
      </c>
      <c r="C60">
        <f>'Demand Projection'!D60</f>
        <v>402</v>
      </c>
      <c r="D60">
        <f t="shared" si="0"/>
        <v>1405</v>
      </c>
    </row>
    <row r="61" spans="1:4">
      <c r="A61" t="str">
        <f>'Demand Projection'!B61</f>
        <v>SKU PROD C</v>
      </c>
      <c r="B61" s="1">
        <f>'Demand Projection'!C61</f>
        <v>46147</v>
      </c>
      <c r="C61">
        <f>'Demand Projection'!D61</f>
        <v>904</v>
      </c>
      <c r="D61">
        <f t="shared" si="0"/>
        <v>1406</v>
      </c>
    </row>
    <row r="62" spans="1:4">
      <c r="A62" t="str">
        <f>'Demand Projection'!B62</f>
        <v>SKU PROD D</v>
      </c>
      <c r="B62" s="1">
        <f>'Demand Projection'!C62</f>
        <v>46148</v>
      </c>
      <c r="C62">
        <f>'Demand Projection'!D62</f>
        <v>603</v>
      </c>
      <c r="D62">
        <f t="shared" si="0"/>
        <v>603</v>
      </c>
    </row>
    <row r="63" spans="1:4">
      <c r="A63" t="str">
        <f>'Demand Projection'!B63</f>
        <v>SKU PROD A</v>
      </c>
      <c r="B63" s="1">
        <f>'Demand Projection'!C63</f>
        <v>46149</v>
      </c>
      <c r="C63">
        <f>'Demand Projection'!D63</f>
        <v>1003</v>
      </c>
      <c r="D63">
        <f t="shared" si="0"/>
        <v>1003</v>
      </c>
    </row>
    <row r="64" spans="1:4">
      <c r="A64" t="str">
        <f>'Demand Projection'!B64</f>
        <v>SKU PROD C</v>
      </c>
      <c r="B64" s="1">
        <f>'Demand Projection'!C64</f>
        <v>46151</v>
      </c>
      <c r="C64">
        <f>'Demand Projection'!D64</f>
        <v>502</v>
      </c>
      <c r="D64">
        <f t="shared" si="0"/>
        <v>502</v>
      </c>
    </row>
    <row r="65" spans="1:4">
      <c r="A65" t="str">
        <f>'Demand Projection'!B65</f>
        <v>SKU PROD E</v>
      </c>
      <c r="B65" s="1">
        <f>'Demand Projection'!C65</f>
        <v>46154</v>
      </c>
      <c r="C65">
        <f>'Demand Projection'!D65</f>
        <v>402</v>
      </c>
      <c r="D65">
        <f t="shared" si="0"/>
        <v>402</v>
      </c>
    </row>
    <row r="66" spans="1:4">
      <c r="A66" t="str">
        <f>'Demand Projection'!B66</f>
        <v>SKU PROD B</v>
      </c>
      <c r="B66" s="1">
        <f>'Demand Projection'!C66</f>
        <v>46155</v>
      </c>
      <c r="C66">
        <f>'Demand Projection'!D66</f>
        <v>603</v>
      </c>
      <c r="D66">
        <f t="shared" si="0"/>
        <v>603</v>
      </c>
    </row>
    <row r="67" spans="1:4">
      <c r="A67" t="str">
        <f>'Demand Projection'!B67</f>
        <v>SKU PROD D</v>
      </c>
      <c r="B67" s="1">
        <f>'Demand Projection'!C67</f>
        <v>46159</v>
      </c>
      <c r="C67">
        <f>'Demand Projection'!D67</f>
        <v>857</v>
      </c>
      <c r="D67">
        <f t="shared" ref="D67:D130" si="1">SUMIFS($C$2:$C$169,$A$2:$A$169,A67,$B$2:$B$169,"&gt;="&amp;B67,$B$2:$B$169,"&lt;="&amp;B67+5)</f>
        <v>857</v>
      </c>
    </row>
    <row r="68" spans="1:4">
      <c r="A68" t="str">
        <f>'Demand Projection'!B68</f>
        <v>SKU PROD C</v>
      </c>
      <c r="B68" s="1">
        <f>'Demand Projection'!C68</f>
        <v>46162</v>
      </c>
      <c r="C68">
        <f>'Demand Projection'!D68</f>
        <v>789</v>
      </c>
      <c r="D68">
        <f t="shared" si="1"/>
        <v>789</v>
      </c>
    </row>
    <row r="69" spans="1:4">
      <c r="A69" t="str">
        <f>'Demand Projection'!B69</f>
        <v>SKU PROD A</v>
      </c>
      <c r="B69" s="1">
        <f>'Demand Projection'!C69</f>
        <v>46166</v>
      </c>
      <c r="C69">
        <f>'Demand Projection'!D69</f>
        <v>1090</v>
      </c>
      <c r="D69">
        <f t="shared" si="1"/>
        <v>1090</v>
      </c>
    </row>
    <row r="70" spans="1:4">
      <c r="A70" t="str">
        <f>'Demand Projection'!B70</f>
        <v>SKU PROD D</v>
      </c>
      <c r="B70" s="1">
        <f>'Demand Projection'!C70</f>
        <v>46170</v>
      </c>
      <c r="C70">
        <f>'Demand Projection'!D70</f>
        <v>3267</v>
      </c>
      <c r="D70">
        <f t="shared" si="1"/>
        <v>3267</v>
      </c>
    </row>
    <row r="71" spans="1:4">
      <c r="A71" t="str">
        <f>'Demand Projection'!B71</f>
        <v>SKU PROD E</v>
      </c>
      <c r="B71" s="1">
        <f>'Demand Projection'!C71</f>
        <v>46170</v>
      </c>
      <c r="C71">
        <f>'Demand Projection'!D71</f>
        <v>2178</v>
      </c>
      <c r="D71">
        <f t="shared" si="1"/>
        <v>2178</v>
      </c>
    </row>
    <row r="72" spans="1:4">
      <c r="A72" t="str">
        <f>'Demand Projection'!B72</f>
        <v>SKU PROD A</v>
      </c>
      <c r="B72" s="1">
        <f>'Demand Projection'!C72</f>
        <v>46176</v>
      </c>
      <c r="C72">
        <f>'Demand Projection'!D72</f>
        <v>953</v>
      </c>
      <c r="D72">
        <f t="shared" si="1"/>
        <v>2288</v>
      </c>
    </row>
    <row r="73" spans="1:4">
      <c r="A73" t="str">
        <f>'Demand Projection'!B73</f>
        <v>SKU PROD B</v>
      </c>
      <c r="B73" s="1">
        <f>'Demand Projection'!C73</f>
        <v>46176</v>
      </c>
      <c r="C73">
        <f>'Demand Projection'!D73</f>
        <v>5713</v>
      </c>
      <c r="D73">
        <f t="shared" si="1"/>
        <v>5713</v>
      </c>
    </row>
    <row r="74" spans="1:4">
      <c r="A74" t="str">
        <f>'Demand Projection'!B74</f>
        <v>SKU PROD A</v>
      </c>
      <c r="B74" s="1">
        <f>'Demand Projection'!C74</f>
        <v>46177</v>
      </c>
      <c r="C74">
        <f>'Demand Projection'!D74</f>
        <v>382</v>
      </c>
      <c r="D74">
        <f t="shared" si="1"/>
        <v>1335</v>
      </c>
    </row>
    <row r="75" spans="1:4">
      <c r="A75" t="str">
        <f>'Demand Projection'!B75</f>
        <v>SKU PROD C</v>
      </c>
      <c r="B75" s="1">
        <f>'Demand Projection'!C75</f>
        <v>46178</v>
      </c>
      <c r="C75">
        <f>'Demand Projection'!D75</f>
        <v>859</v>
      </c>
      <c r="D75">
        <f t="shared" si="1"/>
        <v>1336</v>
      </c>
    </row>
    <row r="76" spans="1:4">
      <c r="A76" t="str">
        <f>'Demand Projection'!B76</f>
        <v>SKU PROD D</v>
      </c>
      <c r="B76" s="1">
        <f>'Demand Projection'!C76</f>
        <v>46179</v>
      </c>
      <c r="C76">
        <f>'Demand Projection'!D76</f>
        <v>573</v>
      </c>
      <c r="D76">
        <f t="shared" si="1"/>
        <v>573</v>
      </c>
    </row>
    <row r="77" spans="1:4">
      <c r="A77" t="str">
        <f>'Demand Projection'!B77</f>
        <v>SKU PROD A</v>
      </c>
      <c r="B77" s="1">
        <f>'Demand Projection'!C77</f>
        <v>46180</v>
      </c>
      <c r="C77">
        <f>'Demand Projection'!D77</f>
        <v>953</v>
      </c>
      <c r="D77">
        <f t="shared" si="1"/>
        <v>953</v>
      </c>
    </row>
    <row r="78" spans="1:4">
      <c r="A78" t="str">
        <f>'Demand Projection'!B78</f>
        <v>SKU PROD C</v>
      </c>
      <c r="B78" s="1">
        <f>'Demand Projection'!C78</f>
        <v>46182</v>
      </c>
      <c r="C78">
        <f>'Demand Projection'!D78</f>
        <v>477</v>
      </c>
      <c r="D78">
        <f t="shared" si="1"/>
        <v>477</v>
      </c>
    </row>
    <row r="79" spans="1:4">
      <c r="A79" t="str">
        <f>'Demand Projection'!B79</f>
        <v>SKU PROD E</v>
      </c>
      <c r="B79" s="1">
        <f>'Demand Projection'!C79</f>
        <v>46185</v>
      </c>
      <c r="C79">
        <f>'Demand Projection'!D79</f>
        <v>382</v>
      </c>
      <c r="D79">
        <f t="shared" si="1"/>
        <v>382</v>
      </c>
    </row>
    <row r="80" spans="1:4">
      <c r="A80" t="str">
        <f>'Demand Projection'!B80</f>
        <v>SKU PROD B</v>
      </c>
      <c r="B80" s="1">
        <f>'Demand Projection'!C80</f>
        <v>46186</v>
      </c>
      <c r="C80">
        <f>'Demand Projection'!D80</f>
        <v>573</v>
      </c>
      <c r="D80">
        <f t="shared" si="1"/>
        <v>573</v>
      </c>
    </row>
    <row r="81" spans="1:4">
      <c r="A81" t="str">
        <f>'Demand Projection'!B81</f>
        <v>SKU PROD D</v>
      </c>
      <c r="B81" s="1">
        <f>'Demand Projection'!C81</f>
        <v>46190</v>
      </c>
      <c r="C81">
        <f>'Demand Projection'!D81</f>
        <v>815</v>
      </c>
      <c r="D81">
        <f t="shared" si="1"/>
        <v>815</v>
      </c>
    </row>
    <row r="82" spans="1:4">
      <c r="A82" t="str">
        <f>'Demand Projection'!B82</f>
        <v>SKU PROD C</v>
      </c>
      <c r="B82" s="1">
        <f>'Demand Projection'!C82</f>
        <v>46193</v>
      </c>
      <c r="C82">
        <f>'Demand Projection'!D82</f>
        <v>750</v>
      </c>
      <c r="D82">
        <f t="shared" si="1"/>
        <v>750</v>
      </c>
    </row>
    <row r="83" spans="1:4">
      <c r="A83" t="str">
        <f>'Demand Projection'!B83</f>
        <v>SKU PROD A</v>
      </c>
      <c r="B83" s="1">
        <f>'Demand Projection'!C83</f>
        <v>46197</v>
      </c>
      <c r="C83">
        <f>'Demand Projection'!D83</f>
        <v>1036</v>
      </c>
      <c r="D83">
        <f t="shared" si="1"/>
        <v>1036</v>
      </c>
    </row>
    <row r="84" spans="1:4">
      <c r="A84" t="str">
        <f>'Demand Projection'!B84</f>
        <v>SKU PROD D</v>
      </c>
      <c r="B84" s="1">
        <f>'Demand Projection'!C84</f>
        <v>46201</v>
      </c>
      <c r="C84">
        <f>'Demand Projection'!D84</f>
        <v>3104</v>
      </c>
      <c r="D84">
        <f t="shared" si="1"/>
        <v>3104</v>
      </c>
    </row>
    <row r="85" spans="1:4">
      <c r="A85" t="str">
        <f>'Demand Projection'!B85</f>
        <v>SKU PROD E</v>
      </c>
      <c r="B85" s="1">
        <f>'Demand Projection'!C85</f>
        <v>46201</v>
      </c>
      <c r="C85">
        <f>'Demand Projection'!D85</f>
        <v>2070</v>
      </c>
      <c r="D85">
        <f t="shared" si="1"/>
        <v>2070</v>
      </c>
    </row>
    <row r="86" spans="1:4">
      <c r="A86" t="str">
        <f>'Demand Projection'!B86</f>
        <v>SKU PROD A</v>
      </c>
      <c r="B86" s="1">
        <f>'Demand Projection'!C86</f>
        <v>46206</v>
      </c>
      <c r="C86">
        <f>'Demand Projection'!D86</f>
        <v>1096</v>
      </c>
      <c r="D86">
        <f t="shared" si="1"/>
        <v>2632</v>
      </c>
    </row>
    <row r="87" spans="1:4">
      <c r="A87" t="str">
        <f>'Demand Projection'!B87</f>
        <v>SKU PROD B</v>
      </c>
      <c r="B87" s="1">
        <f>'Demand Projection'!C87</f>
        <v>46206</v>
      </c>
      <c r="C87">
        <f>'Demand Projection'!D87</f>
        <v>6570</v>
      </c>
      <c r="D87">
        <f t="shared" si="1"/>
        <v>6570</v>
      </c>
    </row>
    <row r="88" spans="1:4">
      <c r="A88" t="str">
        <f>'Demand Projection'!B88</f>
        <v>SKU PROD A</v>
      </c>
      <c r="B88" s="1">
        <f>'Demand Projection'!C88</f>
        <v>46207</v>
      </c>
      <c r="C88">
        <f>'Demand Projection'!D88</f>
        <v>440</v>
      </c>
      <c r="D88">
        <f t="shared" si="1"/>
        <v>1536</v>
      </c>
    </row>
    <row r="89" spans="1:4">
      <c r="A89" t="str">
        <f>'Demand Projection'!B89</f>
        <v>SKU PROD C</v>
      </c>
      <c r="B89" s="1">
        <f>'Demand Projection'!C89</f>
        <v>46208</v>
      </c>
      <c r="C89">
        <f>'Demand Projection'!D89</f>
        <v>988</v>
      </c>
      <c r="D89">
        <f t="shared" si="1"/>
        <v>1537</v>
      </c>
    </row>
    <row r="90" spans="1:4">
      <c r="A90" t="str">
        <f>'Demand Projection'!B90</f>
        <v>SKU PROD D</v>
      </c>
      <c r="B90" s="1">
        <f>'Demand Projection'!C90</f>
        <v>46209</v>
      </c>
      <c r="C90">
        <f>'Demand Projection'!D90</f>
        <v>659</v>
      </c>
      <c r="D90">
        <f t="shared" si="1"/>
        <v>659</v>
      </c>
    </row>
    <row r="91" spans="1:4">
      <c r="A91" t="str">
        <f>'Demand Projection'!B91</f>
        <v>SKU PROD A</v>
      </c>
      <c r="B91" s="1">
        <f>'Demand Projection'!C91</f>
        <v>46210</v>
      </c>
      <c r="C91">
        <f>'Demand Projection'!D91</f>
        <v>1096</v>
      </c>
      <c r="D91">
        <f t="shared" si="1"/>
        <v>1096</v>
      </c>
    </row>
    <row r="92" spans="1:4">
      <c r="A92" t="str">
        <f>'Demand Projection'!B92</f>
        <v>SKU PROD C</v>
      </c>
      <c r="B92" s="1">
        <f>'Demand Projection'!C92</f>
        <v>46212</v>
      </c>
      <c r="C92">
        <f>'Demand Projection'!D92</f>
        <v>549</v>
      </c>
      <c r="D92">
        <f t="shared" si="1"/>
        <v>549</v>
      </c>
    </row>
    <row r="93" spans="1:4">
      <c r="A93" t="str">
        <f>'Demand Projection'!B93</f>
        <v>SKU PROD E</v>
      </c>
      <c r="B93" s="1">
        <f>'Demand Projection'!C93</f>
        <v>46215</v>
      </c>
      <c r="C93">
        <f>'Demand Projection'!D93</f>
        <v>363</v>
      </c>
      <c r="D93">
        <f t="shared" si="1"/>
        <v>363</v>
      </c>
    </row>
    <row r="94" spans="1:4">
      <c r="A94" t="str">
        <f>'Demand Projection'!B94</f>
        <v>SKU PROD B</v>
      </c>
      <c r="B94" s="1">
        <f>'Demand Projection'!C94</f>
        <v>46216</v>
      </c>
      <c r="C94">
        <f>'Demand Projection'!D94</f>
        <v>545</v>
      </c>
      <c r="D94">
        <f t="shared" si="1"/>
        <v>545</v>
      </c>
    </row>
    <row r="95" spans="1:4">
      <c r="A95" t="str">
        <f>'Demand Projection'!B95</f>
        <v>SKU PROD D</v>
      </c>
      <c r="B95" s="1">
        <f>'Demand Projection'!C95</f>
        <v>46220</v>
      </c>
      <c r="C95">
        <f>'Demand Projection'!D95</f>
        <v>775</v>
      </c>
      <c r="D95">
        <f t="shared" si="1"/>
        <v>775</v>
      </c>
    </row>
    <row r="96" spans="1:4">
      <c r="A96" t="str">
        <f>'Demand Projection'!B96</f>
        <v>SKU PROD C</v>
      </c>
      <c r="B96" s="1">
        <f>'Demand Projection'!C96</f>
        <v>46223</v>
      </c>
      <c r="C96">
        <f>'Demand Projection'!D96</f>
        <v>713</v>
      </c>
      <c r="D96">
        <f t="shared" si="1"/>
        <v>713</v>
      </c>
    </row>
    <row r="97" spans="1:4">
      <c r="A97" t="str">
        <f>'Demand Projection'!B97</f>
        <v>SKU PROD A</v>
      </c>
      <c r="B97" s="1">
        <f>'Demand Projection'!C97</f>
        <v>46227</v>
      </c>
      <c r="C97">
        <f>'Demand Projection'!D97</f>
        <v>985</v>
      </c>
      <c r="D97">
        <f t="shared" si="1"/>
        <v>985</v>
      </c>
    </row>
    <row r="98" spans="1:4">
      <c r="A98" t="str">
        <f>'Demand Projection'!B98</f>
        <v>SKU PROD D</v>
      </c>
      <c r="B98" s="1">
        <f>'Demand Projection'!C98</f>
        <v>46231</v>
      </c>
      <c r="C98">
        <f>'Demand Projection'!D98</f>
        <v>2949</v>
      </c>
      <c r="D98">
        <f t="shared" si="1"/>
        <v>2949</v>
      </c>
    </row>
    <row r="99" spans="1:4">
      <c r="A99" t="str">
        <f>'Demand Projection'!B99</f>
        <v>SKU PROD E</v>
      </c>
      <c r="B99" s="1">
        <f>'Demand Projection'!C99</f>
        <v>46231</v>
      </c>
      <c r="C99">
        <f>'Demand Projection'!D99</f>
        <v>1967</v>
      </c>
      <c r="D99">
        <f t="shared" si="1"/>
        <v>1967</v>
      </c>
    </row>
    <row r="100" spans="1:4">
      <c r="A100" t="str">
        <f>'Demand Projection'!B100</f>
        <v>SKU PROD A</v>
      </c>
      <c r="B100" s="1">
        <f>'Demand Projection'!C100</f>
        <v>46237</v>
      </c>
      <c r="C100">
        <f>'Demand Projection'!D100</f>
        <v>932</v>
      </c>
      <c r="D100">
        <f t="shared" si="1"/>
        <v>2238</v>
      </c>
    </row>
    <row r="101" spans="1:4">
      <c r="A101" t="str">
        <f>'Demand Projection'!B101</f>
        <v>SKU PROD B</v>
      </c>
      <c r="B101" s="1">
        <f>'Demand Projection'!C101</f>
        <v>46237</v>
      </c>
      <c r="C101">
        <f>'Demand Projection'!D101</f>
        <v>5585</v>
      </c>
      <c r="D101">
        <f t="shared" si="1"/>
        <v>5585</v>
      </c>
    </row>
    <row r="102" spans="1:4">
      <c r="A102" t="str">
        <f>'Demand Projection'!B102</f>
        <v>SKU PROD A</v>
      </c>
      <c r="B102" s="1">
        <f>'Demand Projection'!C102</f>
        <v>46238</v>
      </c>
      <c r="C102">
        <f>'Demand Projection'!D102</f>
        <v>374</v>
      </c>
      <c r="D102">
        <f t="shared" si="1"/>
        <v>1306</v>
      </c>
    </row>
    <row r="103" spans="1:4">
      <c r="A103" t="str">
        <f>'Demand Projection'!B103</f>
        <v>SKU PROD C</v>
      </c>
      <c r="B103" s="1">
        <f>'Demand Projection'!C103</f>
        <v>46239</v>
      </c>
      <c r="C103">
        <f>'Demand Projection'!D103</f>
        <v>840</v>
      </c>
      <c r="D103">
        <f t="shared" si="1"/>
        <v>1307</v>
      </c>
    </row>
    <row r="104" spans="1:4">
      <c r="A104" t="str">
        <f>'Demand Projection'!B104</f>
        <v>SKU PROD D</v>
      </c>
      <c r="B104" s="1">
        <f>'Demand Projection'!C104</f>
        <v>46240</v>
      </c>
      <c r="C104">
        <f>'Demand Projection'!D104</f>
        <v>561</v>
      </c>
      <c r="D104">
        <f t="shared" si="1"/>
        <v>561</v>
      </c>
    </row>
    <row r="105" spans="1:4">
      <c r="A105" t="str">
        <f>'Demand Projection'!B105</f>
        <v>SKU PROD A</v>
      </c>
      <c r="B105" s="1">
        <f>'Demand Projection'!C105</f>
        <v>46241</v>
      </c>
      <c r="C105">
        <f>'Demand Projection'!D105</f>
        <v>932</v>
      </c>
      <c r="D105">
        <f t="shared" si="1"/>
        <v>932</v>
      </c>
    </row>
    <row r="106" spans="1:4">
      <c r="A106" t="str">
        <f>'Demand Projection'!B106</f>
        <v>SKU PROD C</v>
      </c>
      <c r="B106" s="1">
        <f>'Demand Projection'!C106</f>
        <v>46243</v>
      </c>
      <c r="C106">
        <f>'Demand Projection'!D106</f>
        <v>467</v>
      </c>
      <c r="D106">
        <f t="shared" si="1"/>
        <v>467</v>
      </c>
    </row>
    <row r="107" spans="1:4">
      <c r="A107" t="str">
        <f>'Demand Projection'!B107</f>
        <v>SKU PROD E</v>
      </c>
      <c r="B107" s="1">
        <f>'Demand Projection'!C107</f>
        <v>46246</v>
      </c>
      <c r="C107">
        <f>'Demand Projection'!D107</f>
        <v>309</v>
      </c>
      <c r="D107">
        <f t="shared" si="1"/>
        <v>309</v>
      </c>
    </row>
    <row r="108" spans="1:4">
      <c r="A108" t="str">
        <f>'Demand Projection'!B108</f>
        <v>SKU PROD B</v>
      </c>
      <c r="B108" s="1">
        <f>'Demand Projection'!C108</f>
        <v>46247</v>
      </c>
      <c r="C108">
        <f>'Demand Projection'!D108</f>
        <v>464</v>
      </c>
      <c r="D108">
        <f t="shared" si="1"/>
        <v>464</v>
      </c>
    </row>
    <row r="109" spans="1:4">
      <c r="A109" t="str">
        <f>'Demand Projection'!B109</f>
        <v>SKU PROD D</v>
      </c>
      <c r="B109" s="1">
        <f>'Demand Projection'!C109</f>
        <v>46251</v>
      </c>
      <c r="C109">
        <f>'Demand Projection'!D109</f>
        <v>659</v>
      </c>
      <c r="D109">
        <f t="shared" si="1"/>
        <v>659</v>
      </c>
    </row>
    <row r="110" spans="1:4">
      <c r="A110" t="str">
        <f>'Demand Projection'!B110</f>
        <v>SKU PROD C</v>
      </c>
      <c r="B110" s="1">
        <f>'Demand Projection'!C110</f>
        <v>46254</v>
      </c>
      <c r="C110">
        <f>'Demand Projection'!D110</f>
        <v>607</v>
      </c>
      <c r="D110">
        <f t="shared" si="1"/>
        <v>607</v>
      </c>
    </row>
    <row r="111" spans="1:4">
      <c r="A111" t="str">
        <f>'Demand Projection'!B111</f>
        <v>SKU PROD A</v>
      </c>
      <c r="B111" s="1">
        <f>'Demand Projection'!C111</f>
        <v>46258</v>
      </c>
      <c r="C111">
        <f>'Demand Projection'!D111</f>
        <v>838</v>
      </c>
      <c r="D111">
        <f t="shared" si="1"/>
        <v>838</v>
      </c>
    </row>
    <row r="112" spans="1:4">
      <c r="A112" t="str">
        <f>'Demand Projection'!B112</f>
        <v>SKU PROD D</v>
      </c>
      <c r="B112" s="1">
        <f>'Demand Projection'!C112</f>
        <v>46262</v>
      </c>
      <c r="C112">
        <f>'Demand Projection'!D112</f>
        <v>3038</v>
      </c>
      <c r="D112">
        <f t="shared" si="1"/>
        <v>3038</v>
      </c>
    </row>
    <row r="113" spans="1:4">
      <c r="A113" t="str">
        <f>'Demand Projection'!B113</f>
        <v>SKU PROD E</v>
      </c>
      <c r="B113" s="1">
        <f>'Demand Projection'!C113</f>
        <v>46262</v>
      </c>
      <c r="C113">
        <f>'Demand Projection'!D113</f>
        <v>2027</v>
      </c>
      <c r="D113">
        <f t="shared" si="1"/>
        <v>2027</v>
      </c>
    </row>
    <row r="114" spans="1:4">
      <c r="A114" t="str">
        <f>'Demand Projection'!B114</f>
        <v>SKU PROD A</v>
      </c>
      <c r="B114" s="1">
        <f>'Demand Projection'!C114</f>
        <v>46268</v>
      </c>
      <c r="C114">
        <f>'Demand Projection'!D114</f>
        <v>793</v>
      </c>
      <c r="D114">
        <f t="shared" si="1"/>
        <v>1904</v>
      </c>
    </row>
    <row r="115" spans="1:4">
      <c r="A115" t="str">
        <f>'Demand Projection'!B115</f>
        <v>SKU PROD B</v>
      </c>
      <c r="B115" s="1">
        <f>'Demand Projection'!C115</f>
        <v>46268</v>
      </c>
      <c r="C115">
        <f>'Demand Projection'!D115</f>
        <v>4748</v>
      </c>
      <c r="D115">
        <f t="shared" si="1"/>
        <v>4748</v>
      </c>
    </row>
    <row r="116" spans="1:4">
      <c r="A116" t="str">
        <f>'Demand Projection'!B116</f>
        <v>SKU PROD A</v>
      </c>
      <c r="B116" s="1">
        <f>'Demand Projection'!C116</f>
        <v>46269</v>
      </c>
      <c r="C116">
        <f>'Demand Projection'!D116</f>
        <v>318</v>
      </c>
      <c r="D116">
        <f t="shared" si="1"/>
        <v>1111</v>
      </c>
    </row>
    <row r="117" spans="1:4">
      <c r="A117" t="str">
        <f>'Demand Projection'!B117</f>
        <v>SKU PROD C</v>
      </c>
      <c r="B117" s="1">
        <f>'Demand Projection'!C117</f>
        <v>46270</v>
      </c>
      <c r="C117">
        <f>'Demand Projection'!D117</f>
        <v>714</v>
      </c>
      <c r="D117">
        <f t="shared" si="1"/>
        <v>1111</v>
      </c>
    </row>
    <row r="118" spans="1:4">
      <c r="A118" t="str">
        <f>'Demand Projection'!B118</f>
        <v>SKU PROD D</v>
      </c>
      <c r="B118" s="1">
        <f>'Demand Projection'!C118</f>
        <v>46271</v>
      </c>
      <c r="C118">
        <f>'Demand Projection'!D118</f>
        <v>477</v>
      </c>
      <c r="D118">
        <f t="shared" si="1"/>
        <v>477</v>
      </c>
    </row>
    <row r="119" spans="1:4">
      <c r="A119" t="str">
        <f>'Demand Projection'!B119</f>
        <v>SKU PROD A</v>
      </c>
      <c r="B119" s="1">
        <f>'Demand Projection'!C119</f>
        <v>46272</v>
      </c>
      <c r="C119">
        <f>'Demand Projection'!D119</f>
        <v>793</v>
      </c>
      <c r="D119">
        <f t="shared" si="1"/>
        <v>793</v>
      </c>
    </row>
    <row r="120" spans="1:4">
      <c r="A120" t="str">
        <f>'Demand Projection'!B120</f>
        <v>SKU PROD C</v>
      </c>
      <c r="B120" s="1">
        <f>'Demand Projection'!C120</f>
        <v>46274</v>
      </c>
      <c r="C120">
        <f>'Demand Projection'!D120</f>
        <v>397</v>
      </c>
      <c r="D120">
        <f t="shared" si="1"/>
        <v>397</v>
      </c>
    </row>
    <row r="121" spans="1:4">
      <c r="A121" t="str">
        <f>'Demand Projection'!B121</f>
        <v>SKU PROD E</v>
      </c>
      <c r="B121" s="1">
        <f>'Demand Projection'!C121</f>
        <v>46277</v>
      </c>
      <c r="C121">
        <f>'Demand Projection'!D121</f>
        <v>263</v>
      </c>
      <c r="D121">
        <f t="shared" si="1"/>
        <v>263</v>
      </c>
    </row>
    <row r="122" spans="1:4">
      <c r="A122" t="str">
        <f>'Demand Projection'!B122</f>
        <v>SKU PROD B</v>
      </c>
      <c r="B122" s="1">
        <f>'Demand Projection'!C122</f>
        <v>46278</v>
      </c>
      <c r="C122">
        <f>'Demand Projection'!D122</f>
        <v>395</v>
      </c>
      <c r="D122">
        <f t="shared" si="1"/>
        <v>395</v>
      </c>
    </row>
    <row r="123" spans="1:4">
      <c r="A123" t="str">
        <f>'Demand Projection'!B123</f>
        <v>SKU PROD D</v>
      </c>
      <c r="B123" s="1">
        <f>'Demand Projection'!C123</f>
        <v>46282</v>
      </c>
      <c r="C123">
        <f>'Demand Projection'!D123</f>
        <v>561</v>
      </c>
      <c r="D123">
        <f t="shared" si="1"/>
        <v>561</v>
      </c>
    </row>
    <row r="124" spans="1:4">
      <c r="A124" t="str">
        <f>'Demand Projection'!B124</f>
        <v>SKU PROD C</v>
      </c>
      <c r="B124" s="1">
        <f>'Demand Projection'!C124</f>
        <v>46285</v>
      </c>
      <c r="C124">
        <f>'Demand Projection'!D124</f>
        <v>516</v>
      </c>
      <c r="D124">
        <f t="shared" si="1"/>
        <v>516</v>
      </c>
    </row>
    <row r="125" spans="1:4">
      <c r="A125" t="str">
        <f>'Demand Projection'!B125</f>
        <v>SKU PROD A</v>
      </c>
      <c r="B125" s="1">
        <f>'Demand Projection'!C125</f>
        <v>46289</v>
      </c>
      <c r="C125">
        <f>'Demand Projection'!D125</f>
        <v>713</v>
      </c>
      <c r="D125">
        <f t="shared" si="1"/>
        <v>713</v>
      </c>
    </row>
    <row r="126" spans="1:4">
      <c r="A126" t="str">
        <f>'Demand Projection'!B126</f>
        <v>SKU PROD D</v>
      </c>
      <c r="B126" s="1">
        <f>'Demand Projection'!C126</f>
        <v>46293</v>
      </c>
      <c r="C126">
        <f>'Demand Projection'!D126</f>
        <v>3130</v>
      </c>
      <c r="D126">
        <f t="shared" si="1"/>
        <v>3130</v>
      </c>
    </row>
    <row r="127" spans="1:4">
      <c r="A127" t="str">
        <f>'Demand Projection'!B127</f>
        <v>SKU PROD E</v>
      </c>
      <c r="B127" s="1">
        <f>'Demand Projection'!C127</f>
        <v>46293</v>
      </c>
      <c r="C127">
        <f>'Demand Projection'!D127</f>
        <v>2088</v>
      </c>
      <c r="D127">
        <f t="shared" si="1"/>
        <v>2088</v>
      </c>
    </row>
    <row r="128" spans="1:4">
      <c r="A128" t="str">
        <f>'Demand Projection'!B128</f>
        <v>SKU PROD A</v>
      </c>
      <c r="B128" s="1">
        <f>'Demand Projection'!C128</f>
        <v>46298</v>
      </c>
      <c r="C128">
        <f>'Demand Projection'!D128</f>
        <v>714</v>
      </c>
      <c r="D128">
        <f t="shared" si="1"/>
        <v>1715</v>
      </c>
    </row>
    <row r="129" spans="1:4">
      <c r="A129" t="str">
        <f>'Demand Projection'!B129</f>
        <v>SKU PROD B</v>
      </c>
      <c r="B129" s="1">
        <f>'Demand Projection'!C129</f>
        <v>46298</v>
      </c>
      <c r="C129">
        <f>'Demand Projection'!D129</f>
        <v>4274</v>
      </c>
      <c r="D129">
        <f t="shared" si="1"/>
        <v>4274</v>
      </c>
    </row>
    <row r="130" spans="1:4">
      <c r="A130" t="str">
        <f>'Demand Projection'!B130</f>
        <v>SKU PROD A</v>
      </c>
      <c r="B130" s="1">
        <f>'Demand Projection'!C130</f>
        <v>46299</v>
      </c>
      <c r="C130">
        <f>'Demand Projection'!D130</f>
        <v>287</v>
      </c>
      <c r="D130">
        <f t="shared" si="1"/>
        <v>1001</v>
      </c>
    </row>
    <row r="131" spans="1:4">
      <c r="A131" t="str">
        <f>'Demand Projection'!B131</f>
        <v>SKU PROD C</v>
      </c>
      <c r="B131" s="1">
        <f>'Demand Projection'!C131</f>
        <v>46300</v>
      </c>
      <c r="C131">
        <f>'Demand Projection'!D131</f>
        <v>643</v>
      </c>
      <c r="D131">
        <f t="shared" ref="D131:D169" si="2">SUMIFS($C$2:$C$169,$A$2:$A$169,A131,$B$2:$B$169,"&gt;="&amp;B131,$B$2:$B$169,"&lt;="&amp;B131+5)</f>
        <v>1001</v>
      </c>
    </row>
    <row r="132" spans="1:4">
      <c r="A132" t="str">
        <f>'Demand Projection'!B132</f>
        <v>SKU PROD D</v>
      </c>
      <c r="B132" s="1">
        <f>'Demand Projection'!C132</f>
        <v>46301</v>
      </c>
      <c r="C132">
        <f>'Demand Projection'!D132</f>
        <v>430</v>
      </c>
      <c r="D132">
        <f t="shared" si="2"/>
        <v>430</v>
      </c>
    </row>
    <row r="133" spans="1:4">
      <c r="A133" t="str">
        <f>'Demand Projection'!B133</f>
        <v>SKU PROD A</v>
      </c>
      <c r="B133" s="1">
        <f>'Demand Projection'!C133</f>
        <v>46302</v>
      </c>
      <c r="C133">
        <f>'Demand Projection'!D133</f>
        <v>714</v>
      </c>
      <c r="D133">
        <f t="shared" si="2"/>
        <v>714</v>
      </c>
    </row>
    <row r="134" spans="1:4">
      <c r="A134" t="str">
        <f>'Demand Projection'!B134</f>
        <v>SKU PROD C</v>
      </c>
      <c r="B134" s="1">
        <f>'Demand Projection'!C134</f>
        <v>46304</v>
      </c>
      <c r="C134">
        <f>'Demand Projection'!D134</f>
        <v>358</v>
      </c>
      <c r="D134">
        <f t="shared" si="2"/>
        <v>358</v>
      </c>
    </row>
    <row r="135" spans="1:4">
      <c r="A135" t="str">
        <f>'Demand Projection'!B135</f>
        <v>SKU PROD E</v>
      </c>
      <c r="B135" s="1">
        <f>'Demand Projection'!C135</f>
        <v>46307</v>
      </c>
      <c r="C135">
        <f>'Demand Projection'!D135</f>
        <v>250</v>
      </c>
      <c r="D135">
        <f t="shared" si="2"/>
        <v>250</v>
      </c>
    </row>
    <row r="136" spans="1:4">
      <c r="A136" t="str">
        <f>'Demand Projection'!B136</f>
        <v>SKU PROD B</v>
      </c>
      <c r="B136" s="1">
        <f>'Demand Projection'!C136</f>
        <v>46308</v>
      </c>
      <c r="C136">
        <f>'Demand Projection'!D136</f>
        <v>376</v>
      </c>
      <c r="D136">
        <f t="shared" si="2"/>
        <v>376</v>
      </c>
    </row>
    <row r="137" spans="1:4">
      <c r="A137" t="str">
        <f>'Demand Projection'!B137</f>
        <v>SKU PROD D</v>
      </c>
      <c r="B137" s="1">
        <f>'Demand Projection'!C137</f>
        <v>46312</v>
      </c>
      <c r="C137">
        <f>'Demand Projection'!D137</f>
        <v>533</v>
      </c>
      <c r="D137">
        <f t="shared" si="2"/>
        <v>533</v>
      </c>
    </row>
    <row r="138" spans="1:4">
      <c r="A138" t="str">
        <f>'Demand Projection'!B138</f>
        <v>SKU PROD C</v>
      </c>
      <c r="B138" s="1">
        <f>'Demand Projection'!C138</f>
        <v>46315</v>
      </c>
      <c r="C138">
        <f>'Demand Projection'!D138</f>
        <v>491</v>
      </c>
      <c r="D138">
        <f t="shared" si="2"/>
        <v>491</v>
      </c>
    </row>
    <row r="139" spans="1:4">
      <c r="A139" t="str">
        <f>'Demand Projection'!B139</f>
        <v>SKU PROD A</v>
      </c>
      <c r="B139" s="1">
        <f>'Demand Projection'!C139</f>
        <v>46319</v>
      </c>
      <c r="C139">
        <f>'Demand Projection'!D139</f>
        <v>678</v>
      </c>
      <c r="D139">
        <f t="shared" si="2"/>
        <v>678</v>
      </c>
    </row>
    <row r="140" spans="1:4">
      <c r="A140" t="str">
        <f>'Demand Projection'!B140</f>
        <v>SKU PROD D</v>
      </c>
      <c r="B140" s="1">
        <f>'Demand Projection'!C140</f>
        <v>46323</v>
      </c>
      <c r="C140">
        <f>'Demand Projection'!D140</f>
        <v>2974</v>
      </c>
      <c r="D140">
        <f t="shared" si="2"/>
        <v>2974</v>
      </c>
    </row>
    <row r="141" spans="1:4">
      <c r="A141" t="str">
        <f>'Demand Projection'!B141</f>
        <v>SKU PROD E</v>
      </c>
      <c r="B141" s="1">
        <f>'Demand Projection'!C141</f>
        <v>46323</v>
      </c>
      <c r="C141">
        <f>'Demand Projection'!D141</f>
        <v>1984</v>
      </c>
      <c r="D141">
        <f t="shared" si="2"/>
        <v>1984</v>
      </c>
    </row>
    <row r="142" spans="1:4">
      <c r="A142" t="str">
        <f>'Demand Projection'!B142</f>
        <v>SKU PROD A</v>
      </c>
      <c r="B142" s="1">
        <f>'Demand Projection'!C142</f>
        <v>46329</v>
      </c>
      <c r="C142">
        <f>'Demand Projection'!D142</f>
        <v>800</v>
      </c>
      <c r="D142">
        <f t="shared" si="2"/>
        <v>1922</v>
      </c>
    </row>
    <row r="143" spans="1:4">
      <c r="A143" t="str">
        <f>'Demand Projection'!B143</f>
        <v>SKU PROD B</v>
      </c>
      <c r="B143" s="1">
        <f>'Demand Projection'!C143</f>
        <v>46329</v>
      </c>
      <c r="C143">
        <f>'Demand Projection'!D143</f>
        <v>4787</v>
      </c>
      <c r="D143">
        <f t="shared" si="2"/>
        <v>4787</v>
      </c>
    </row>
    <row r="144" spans="1:4">
      <c r="A144" t="str">
        <f>'Demand Projection'!B144</f>
        <v>SKU PROD A</v>
      </c>
      <c r="B144" s="1">
        <f>'Demand Projection'!C144</f>
        <v>46330</v>
      </c>
      <c r="C144">
        <f>'Demand Projection'!D144</f>
        <v>322</v>
      </c>
      <c r="D144">
        <f t="shared" si="2"/>
        <v>1122</v>
      </c>
    </row>
    <row r="145" spans="1:4">
      <c r="A145" t="str">
        <f>'Demand Projection'!B145</f>
        <v>SKU PROD C</v>
      </c>
      <c r="B145" s="1">
        <f>'Demand Projection'!C145</f>
        <v>46331</v>
      </c>
      <c r="C145">
        <f>'Demand Projection'!D145</f>
        <v>721</v>
      </c>
      <c r="D145">
        <f t="shared" si="2"/>
        <v>1122</v>
      </c>
    </row>
    <row r="146" spans="1:4">
      <c r="A146" t="str">
        <f>'Demand Projection'!B146</f>
        <v>SKU PROD D</v>
      </c>
      <c r="B146" s="1">
        <f>'Demand Projection'!C146</f>
        <v>46332</v>
      </c>
      <c r="C146">
        <f>'Demand Projection'!D146</f>
        <v>482</v>
      </c>
      <c r="D146">
        <f t="shared" si="2"/>
        <v>482</v>
      </c>
    </row>
    <row r="147" spans="1:4">
      <c r="A147" t="str">
        <f>'Demand Projection'!B147</f>
        <v>SKU PROD A</v>
      </c>
      <c r="B147" s="1">
        <f>'Demand Projection'!C147</f>
        <v>46333</v>
      </c>
      <c r="C147">
        <f>'Demand Projection'!D147</f>
        <v>800</v>
      </c>
      <c r="D147">
        <f t="shared" si="2"/>
        <v>800</v>
      </c>
    </row>
    <row r="148" spans="1:4">
      <c r="A148" t="str">
        <f>'Demand Projection'!B148</f>
        <v>SKU PROD C</v>
      </c>
      <c r="B148" s="1">
        <f>'Demand Projection'!C148</f>
        <v>46335</v>
      </c>
      <c r="C148">
        <f>'Demand Projection'!D148</f>
        <v>401</v>
      </c>
      <c r="D148">
        <f t="shared" si="2"/>
        <v>401</v>
      </c>
    </row>
    <row r="149" spans="1:4">
      <c r="A149" t="str">
        <f>'Demand Projection'!B149</f>
        <v>SKU PROD E</v>
      </c>
      <c r="B149" s="1">
        <f>'Demand Projection'!C149</f>
        <v>46338</v>
      </c>
      <c r="C149">
        <f>'Demand Projection'!D149</f>
        <v>280</v>
      </c>
      <c r="D149">
        <f t="shared" si="2"/>
        <v>280</v>
      </c>
    </row>
    <row r="150" spans="1:4">
      <c r="A150" t="str">
        <f>'Demand Projection'!B150</f>
        <v>SKU PROD B</v>
      </c>
      <c r="B150" s="1">
        <f>'Demand Projection'!C150</f>
        <v>46339</v>
      </c>
      <c r="C150">
        <f>'Demand Projection'!D150</f>
        <v>399</v>
      </c>
      <c r="D150">
        <f t="shared" si="2"/>
        <v>399</v>
      </c>
    </row>
    <row r="151" spans="1:4">
      <c r="A151" t="str">
        <f>'Demand Projection'!B151</f>
        <v>SKU PROD D</v>
      </c>
      <c r="B151" s="1">
        <f>'Demand Projection'!C151</f>
        <v>46343</v>
      </c>
      <c r="C151">
        <f>'Demand Projection'!D151</f>
        <v>565</v>
      </c>
      <c r="D151">
        <f t="shared" si="2"/>
        <v>565</v>
      </c>
    </row>
    <row r="152" spans="1:4">
      <c r="A152" t="str">
        <f>'Demand Projection'!B152</f>
        <v>SKU PROD C</v>
      </c>
      <c r="B152" s="1">
        <f>'Demand Projection'!C152</f>
        <v>46346</v>
      </c>
      <c r="C152">
        <f>'Demand Projection'!D152</f>
        <v>521</v>
      </c>
      <c r="D152">
        <f t="shared" si="2"/>
        <v>521</v>
      </c>
    </row>
    <row r="153" spans="1:4">
      <c r="A153" t="str">
        <f>'Demand Projection'!B153</f>
        <v>SKU PROD A</v>
      </c>
      <c r="B153" s="1">
        <f>'Demand Projection'!C153</f>
        <v>46350</v>
      </c>
      <c r="C153">
        <f>'Demand Projection'!D153</f>
        <v>719</v>
      </c>
      <c r="D153">
        <f t="shared" si="2"/>
        <v>719</v>
      </c>
    </row>
    <row r="154" spans="1:4">
      <c r="A154" t="str">
        <f>'Demand Projection'!B154</f>
        <v>SKU PROD D</v>
      </c>
      <c r="B154" s="1">
        <f>'Demand Projection'!C154</f>
        <v>46354</v>
      </c>
      <c r="C154">
        <f>'Demand Projection'!D154</f>
        <v>3153</v>
      </c>
      <c r="D154">
        <f t="shared" si="2"/>
        <v>3153</v>
      </c>
    </row>
    <row r="155" spans="1:4">
      <c r="A155" t="str">
        <f>'Demand Projection'!B155</f>
        <v>SKU PROD E</v>
      </c>
      <c r="B155" s="1">
        <f>'Demand Projection'!C155</f>
        <v>46354</v>
      </c>
      <c r="C155">
        <f>'Demand Projection'!D155</f>
        <v>2104</v>
      </c>
      <c r="D155">
        <f t="shared" si="2"/>
        <v>2104</v>
      </c>
    </row>
    <row r="156" spans="1:4">
      <c r="A156" t="str">
        <f>'Demand Projection'!B156</f>
        <v>SKU PROD A</v>
      </c>
      <c r="B156" s="1">
        <f>'Demand Projection'!C156</f>
        <v>46359</v>
      </c>
      <c r="C156">
        <f>'Demand Projection'!D156</f>
        <v>848</v>
      </c>
      <c r="D156">
        <f t="shared" si="2"/>
        <v>2038</v>
      </c>
    </row>
    <row r="157" spans="1:4">
      <c r="A157" t="str">
        <f>'Demand Projection'!B157</f>
        <v>SKU PROD B</v>
      </c>
      <c r="B157" s="1">
        <f>'Demand Projection'!C157</f>
        <v>46359</v>
      </c>
      <c r="C157">
        <f>'Demand Projection'!D157</f>
        <v>5075</v>
      </c>
      <c r="D157">
        <f t="shared" si="2"/>
        <v>5075</v>
      </c>
    </row>
    <row r="158" spans="1:4">
      <c r="A158" t="str">
        <f>'Demand Projection'!B158</f>
        <v>SKU PROD A</v>
      </c>
      <c r="B158" s="1">
        <f>'Demand Projection'!C158</f>
        <v>46360</v>
      </c>
      <c r="C158">
        <f>'Demand Projection'!D158</f>
        <v>342</v>
      </c>
      <c r="D158">
        <f t="shared" si="2"/>
        <v>1190</v>
      </c>
    </row>
    <row r="159" spans="1:4">
      <c r="A159" t="str">
        <f>'Demand Projection'!B159</f>
        <v>SKU PROD C</v>
      </c>
      <c r="B159" s="1">
        <f>'Demand Projection'!C159</f>
        <v>46361</v>
      </c>
      <c r="C159">
        <f>'Demand Projection'!D159</f>
        <v>765</v>
      </c>
      <c r="D159">
        <f t="shared" si="2"/>
        <v>1191</v>
      </c>
    </row>
    <row r="160" spans="1:4">
      <c r="A160" t="str">
        <f>'Demand Projection'!B160</f>
        <v>SKU PROD D</v>
      </c>
      <c r="B160" s="1">
        <f>'Demand Projection'!C160</f>
        <v>46362</v>
      </c>
      <c r="C160">
        <f>'Demand Projection'!D160</f>
        <v>511</v>
      </c>
      <c r="D160">
        <f t="shared" si="2"/>
        <v>511</v>
      </c>
    </row>
    <row r="161" spans="1:4">
      <c r="A161" t="str">
        <f>'Demand Projection'!B161</f>
        <v>SKU PROD A</v>
      </c>
      <c r="B161" s="1">
        <f>'Demand Projection'!C161</f>
        <v>46363</v>
      </c>
      <c r="C161">
        <f>'Demand Projection'!D161</f>
        <v>848</v>
      </c>
      <c r="D161">
        <f t="shared" si="2"/>
        <v>848</v>
      </c>
    </row>
    <row r="162" spans="1:4">
      <c r="A162" t="str">
        <f>'Demand Projection'!B162</f>
        <v>SKU PROD C</v>
      </c>
      <c r="B162" s="1">
        <f>'Demand Projection'!C162</f>
        <v>46365</v>
      </c>
      <c r="C162">
        <f>'Demand Projection'!D162</f>
        <v>426</v>
      </c>
      <c r="D162">
        <f t="shared" si="2"/>
        <v>426</v>
      </c>
    </row>
    <row r="163" spans="1:4">
      <c r="A163" t="str">
        <f>'Demand Projection'!B163</f>
        <v>SKU PROD E</v>
      </c>
      <c r="B163" s="1">
        <f>'Demand Projection'!C163</f>
        <v>46368</v>
      </c>
      <c r="C163">
        <f>'Demand Projection'!D163</f>
        <v>314</v>
      </c>
      <c r="D163">
        <f t="shared" si="2"/>
        <v>314</v>
      </c>
    </row>
    <row r="164" spans="1:4">
      <c r="A164" t="str">
        <f>'Demand Projection'!B164</f>
        <v>SKU PROD B</v>
      </c>
      <c r="B164" s="1">
        <f>'Demand Projection'!C164</f>
        <v>46369</v>
      </c>
      <c r="C164">
        <f>'Demand Projection'!D164</f>
        <v>447</v>
      </c>
      <c r="D164">
        <f t="shared" si="2"/>
        <v>447</v>
      </c>
    </row>
    <row r="165" spans="1:4">
      <c r="A165" t="str">
        <f>'Demand Projection'!B165</f>
        <v>SKU PROD D</v>
      </c>
      <c r="B165" s="1">
        <f>'Demand Projection'!C165</f>
        <v>46373</v>
      </c>
      <c r="C165">
        <f>'Demand Projection'!D165</f>
        <v>633</v>
      </c>
      <c r="D165">
        <f t="shared" si="2"/>
        <v>633</v>
      </c>
    </row>
    <row r="166" spans="1:4">
      <c r="A166" t="str">
        <f>'Demand Projection'!B166</f>
        <v>SKU PROD C</v>
      </c>
      <c r="B166" s="1">
        <f>'Demand Projection'!C166</f>
        <v>46376</v>
      </c>
      <c r="C166">
        <f>'Demand Projection'!D166</f>
        <v>584</v>
      </c>
      <c r="D166">
        <f t="shared" si="2"/>
        <v>584</v>
      </c>
    </row>
    <row r="167" spans="1:4">
      <c r="A167" t="str">
        <f>'Demand Projection'!B167</f>
        <v>SKU PROD A</v>
      </c>
      <c r="B167" s="1">
        <f>'Demand Projection'!C167</f>
        <v>46380</v>
      </c>
      <c r="C167">
        <f>'Demand Projection'!D167</f>
        <v>806</v>
      </c>
      <c r="D167">
        <f t="shared" si="2"/>
        <v>806</v>
      </c>
    </row>
    <row r="168" spans="1:4">
      <c r="A168" t="str">
        <f>'Demand Projection'!B168</f>
        <v>SKU PROD D</v>
      </c>
      <c r="B168" s="1">
        <f>'Demand Projection'!C168</f>
        <v>46384</v>
      </c>
      <c r="C168">
        <f>'Demand Projection'!D168</f>
        <v>3532</v>
      </c>
      <c r="D168">
        <f t="shared" si="2"/>
        <v>3532</v>
      </c>
    </row>
    <row r="169" spans="1:4">
      <c r="A169" t="str">
        <f>'Demand Projection'!B169</f>
        <v>SKU PROD E</v>
      </c>
      <c r="B169" s="1">
        <f>'Demand Projection'!C169</f>
        <v>46384</v>
      </c>
      <c r="C169">
        <f>'Demand Projection'!D169</f>
        <v>2357</v>
      </c>
      <c r="D169">
        <f t="shared" si="2"/>
        <v>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 Projection</vt:lpstr>
      <vt:lpstr>Warehouse</vt:lpstr>
      <vt:lpstr>Capacity</vt:lpstr>
      <vt:lpstr>Warehouse Helper</vt:lpstr>
      <vt:lpstr>Demand 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Dina Nabila</cp:lastModifiedBy>
  <dcterms:created xsi:type="dcterms:W3CDTF">2026-09-10T05:05:49Z</dcterms:created>
  <dcterms:modified xsi:type="dcterms:W3CDTF">2026-09-28T00:03:06Z</dcterms:modified>
</cp:coreProperties>
</file>